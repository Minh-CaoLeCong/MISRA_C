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CVS\Documents\C_language\MISRA_C_2012\"/>
    </mc:Choice>
  </mc:AlternateContent>
  <xr:revisionPtr revIDLastSave="0" documentId="13_ncr:1_{B0769205-459F-4D05-A530-48F39FAA5AF0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SearchSheet" sheetId="1" r:id="rId1"/>
    <sheet name="DatabaseSheet" sheetId="2" r:id="rId2"/>
  </sheets>
  <definedNames>
    <definedName name="_xlnm._FilterDatabase" localSheetId="1" hidden="1">DatabaseSheet!$A$2:$L$50</definedName>
    <definedName name="_xlnm._FilterDatabase" localSheetId="0" hidden="1">SearchSheet!$A$6:$L$6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<sst xmlns="http://schemas.openxmlformats.org/spreadsheetml/2006/main" count="384" uniqueCount="251">
  <si>
    <t>Message-ID</t>
  </si>
  <si>
    <t>Message</t>
  </si>
  <si>
    <t>Code-Line</t>
  </si>
  <si>
    <t>Solution</t>
  </si>
  <si>
    <t>Assessment</t>
  </si>
  <si>
    <t>required columns</t>
  </si>
  <si>
    <t xml:space="preserve">     </t>
  </si>
  <si>
    <t>Result</t>
  </si>
  <si>
    <t>Assessor</t>
  </si>
  <si>
    <t>Step</t>
  </si>
  <si>
    <t>Comment</t>
  </si>
  <si>
    <t>Status</t>
  </si>
  <si>
    <t>Hex-Neutral</t>
  </si>
  <si>
    <t>Code example</t>
  </si>
  <si>
    <t>Before</t>
  </si>
  <si>
    <t>After</t>
  </si>
  <si>
    <t>QAC_2961</t>
  </si>
  <si>
    <t>4: Definite: Using value of uninitialized automatic object 'TestSearch'. MISRA C:2012 Rule-9.1</t>
  </si>
  <si>
    <t>stTstRes = (*TestSearch[numCurrTst].Shtrp_Tst_p)(&amp;tstStatus);</t>
  </si>
  <si>
    <t>LOW_PRIO</t>
  </si>
  <si>
    <t>hir5kor(MISRA DFD service)</t>
  </si>
  <si>
    <t>PVER-I</t>
  </si>
  <si>
    <t>Known issue, working for a fix with QAC</t>
  </si>
  <si>
    <t>in clarification</t>
  </si>
  <si>
    <t xml:space="preserve">Contact to get assessment from Misra </t>
  </si>
  <si>
    <t>QAC_1257</t>
  </si>
  <si>
    <t>5: An integer constant suffixed with L or LL is being converted to a type of lower rank on assignment. MISRA C:2012 Rule-10.3</t>
  </si>
  <si>
    <t>Add casting type</t>
  </si>
  <si>
    <t>stTstMode = SHTRP_NOTACTV;</t>
  </si>
  <si>
    <t xml:space="preserve"> stTstMode = SHTRP_NOTACTV;</t>
  </si>
  <si>
    <r>
      <t xml:space="preserve">stTstMode = </t>
    </r>
    <r>
      <rPr>
        <sz val="10"/>
        <color rgb="FFFF0000"/>
        <rFont val="Arial"/>
        <family val="2"/>
      </rPr>
      <t>(uint8)</t>
    </r>
    <r>
      <rPr>
        <sz val="10"/>
        <color theme="1"/>
        <rFont val="Arial"/>
        <family val="2"/>
      </rPr>
      <t>SHTRP_NOTACTV;</t>
    </r>
  </si>
  <si>
    <t>QAC_1294</t>
  </si>
  <si>
    <t>5: An integer constant of 'essentially signed' type is being converted to type _Bool on assignment. MISRA C:2012 Rule-10.3</t>
  </si>
  <si>
    <t xml:space="preserve"> stFirst = SHTRP_FIRSTTASK;</t>
  </si>
  <si>
    <t>add logic to convert to correct type of variable</t>
  </si>
  <si>
    <t>bool stFirst
stFirst = SHTRP_FIRSTTASK;</t>
  </si>
  <si>
    <r>
      <t xml:space="preserve">stFirst = ((SHTRP_FIRSTTASK </t>
    </r>
    <r>
      <rPr>
        <sz val="10"/>
        <color rgb="FFFF0000"/>
        <rFont val="Arial"/>
        <family val="2"/>
      </rPr>
      <t>&gt; 0) ? TRUE:FALSE);</t>
    </r>
  </si>
  <si>
    <t>BasSvrAppl_St_ACShutOffReq = 0;</t>
  </si>
  <si>
    <t>Change type of data</t>
  </si>
  <si>
    <r>
      <t xml:space="preserve">BasSvrAppl_St_ACShutOffReq = </t>
    </r>
    <r>
      <rPr>
        <sz val="10"/>
        <color rgb="FFFF0000"/>
        <rFont val="Arial"/>
        <family val="2"/>
      </rPr>
      <t>FALSE</t>
    </r>
    <r>
      <rPr>
        <sz val="10"/>
        <color theme="1"/>
        <rFont val="Arial"/>
        <family val="2"/>
      </rPr>
      <t>;</t>
    </r>
  </si>
  <si>
    <t>QAC_1841</t>
  </si>
  <si>
    <t>5: The right-hand operand is constant, 'essentially signed' (signed int) and non-negative but will be implicitly converted to an unsigned type (unsigned long) in this bitwise operation. MISRA C:2012 Rule-10.4</t>
  </si>
  <si>
    <t>BasSvrAppl_St_Eom        =(uint16)(currEOM &amp; 0xFFFF);</t>
  </si>
  <si>
    <r>
      <t>BasSvrAppl_St_Eom        =(uint16)(currEOM &amp;</t>
    </r>
    <r>
      <rPr>
        <sz val="10"/>
        <color rgb="FFFF0000"/>
        <rFont val="Arial"/>
        <family val="2"/>
      </rPr>
      <t xml:space="preserve"> (uint32)</t>
    </r>
    <r>
      <rPr>
        <sz val="10"/>
        <color theme="1"/>
        <rFont val="Arial"/>
        <family val="2"/>
      </rPr>
      <t>0xFFFF);</t>
    </r>
  </si>
  <si>
    <t>for(ctLoop = 0; ctLoop &lt; BASSVRAPPL_STLIB_DFCARRSZ_DS; ctLoop++)</t>
  </si>
  <si>
    <t>QAC_1842</t>
  </si>
  <si>
    <t>5: The right-hand operand is constant, 'essentially signed' (signed long) and non-negative but will be implicitly converted to an unsigned type (unsigned long) in this relational operation. MISRA C:2012 Rule-10.4</t>
  </si>
  <si>
    <t>ctLoop is define as uint
 for(ctLoop = 0; ctLoop &lt; BASSVRAPPL_STLIB_DFCARRSZ_DS; ctLoop++)</t>
  </si>
  <si>
    <r>
      <t>for(ctLoop = 0; ctLoop &lt;</t>
    </r>
    <r>
      <rPr>
        <sz val="10"/>
        <color rgb="FFFF0000"/>
        <rFont val="Arial"/>
        <family val="2"/>
      </rPr>
      <t xml:space="preserve"> (uint)</t>
    </r>
    <r>
      <rPr>
        <sz val="10"/>
        <color theme="1"/>
        <rFont val="Arial"/>
        <family val="2"/>
      </rPr>
      <t>BASSVRAPPL_STLIB_DFCARRSZ_DS; ctLoop++)</t>
    </r>
  </si>
  <si>
    <t>QAC_1843</t>
  </si>
  <si>
    <t>5: The right-hand operand is constant, 'essentially signed' (signed long) and non-negative but will be implicitly converted to an unsigned type (unsigned long) in this equality operation. MISRA C:2012 Rule-10.4</t>
  </si>
  <si>
    <t>if(stExeSrv==BASSVRAPPL_INVLDEOM)</t>
  </si>
  <si>
    <r>
      <t xml:space="preserve"> if(stExeSrv==</t>
    </r>
    <r>
      <rPr>
        <sz val="10"/>
        <color rgb="FFFF0000"/>
        <rFont val="Arial"/>
        <family val="2"/>
      </rPr>
      <t>(uint32)</t>
    </r>
    <r>
      <rPr>
        <sz val="10"/>
        <color theme="1"/>
        <rFont val="Arial"/>
        <family val="2"/>
      </rPr>
      <t>BASSVRAPPL_INVLDEOM)</t>
    </r>
  </si>
  <si>
    <t>QAC_1851</t>
  </si>
  <si>
    <t>5: The left-hand operand is 'essentially unsigned' (unsigned char) but will be implicitly converted to a signed type (signed long) in this bitwise operation. MISRA C:2012 Rule-10.4</t>
  </si>
  <si>
    <t>SrvB_PutBitU32(&amp;stAllowed, SHTRP_BRKPRESSED_BP, ((Brk_st &amp; BRK_ST_3 ) == BRK_ST_3));</t>
  </si>
  <si>
    <t xml:space="preserve"> SrvB_PutBitU32(&amp;stAllowed, SHTRP_BRKPRESSED_BP, ((Brk_st &amp; BRK_ST_3 ) == BRK_ST_3));</t>
  </si>
  <si>
    <r>
      <t xml:space="preserve"> SrvB_PutBitU32(&amp;stAllowed, SHTRP_BRKPRESSED_BP, ((Brk_st &amp; </t>
    </r>
    <r>
      <rPr>
        <sz val="10"/>
        <color rgb="FFFF0000"/>
        <rFont val="Arial"/>
        <family val="2"/>
      </rPr>
      <t>(uint8)</t>
    </r>
    <r>
      <rPr>
        <sz val="10"/>
        <color theme="1"/>
        <rFont val="Arial"/>
        <family val="2"/>
      </rPr>
      <t>BRK_ST_3 ) == BRK_ST_3));</t>
    </r>
  </si>
  <si>
    <t>QAC_1852</t>
  </si>
  <si>
    <t>5: The left-hand operand is 'essentially unsigned' (unsigned short) but will be implicitly converted to a signed type (signed long) in this relational operation. MISRA C:2012 Rule-10.4</t>
  </si>
  <si>
    <t>BasSvrAppl_St_CurrTst = (BasSvrAppl_St_CurrTst_Extd &lt; QCKSTRT_TSTNUMRANGE_END) ? BasSvrAppl_St_CurrTst_Extd : QCKSTRT_TSTNUMRANGE_END;</t>
  </si>
  <si>
    <r>
      <t>BasSvrAppl_St_CurrTst = (BasSvrAppl_St_CurrTst_Extd &lt;</t>
    </r>
    <r>
      <rPr>
        <sz val="10"/>
        <color rgb="FFFF0000"/>
        <rFont val="Arial"/>
        <family val="2"/>
      </rPr>
      <t xml:space="preserve"> (uint16)</t>
    </r>
    <r>
      <rPr>
        <sz val="10"/>
        <color theme="1"/>
        <rFont val="Arial"/>
        <family val="2"/>
      </rPr>
      <t xml:space="preserve">QCKSTRT_TSTNUMRANGE_END) ? </t>
    </r>
    <r>
      <rPr>
        <sz val="10"/>
        <color theme="1"/>
        <rFont val="Arial"/>
        <family val="2"/>
      </rPr>
      <t>BasSvrAppl_St_CurrTst_Extd :</t>
    </r>
    <r>
      <rPr>
        <sz val="10"/>
        <color theme="1"/>
        <rFont val="Arial"/>
        <family val="2"/>
      </rPr>
      <t>QCKSTRT_TSTNUMRANGE_END;</t>
    </r>
  </si>
  <si>
    <t>QAC_1853</t>
  </si>
  <si>
    <t>5: The left-hand operand is 'essentially unsigned' (unsigned char) but will be implicitly converted to a signed type (signed long) in this equality operation. MISRA C:2012 Rule-10.4</t>
  </si>
  <si>
    <t>if (PT_stTraType == TRATYPE_MT_SY)</t>
  </si>
  <si>
    <r>
      <t xml:space="preserve">if (PT_stTraType == </t>
    </r>
    <r>
      <rPr>
        <sz val="10"/>
        <color rgb="FFFF0000"/>
        <rFont val="Arial"/>
        <family val="2"/>
      </rPr>
      <t>(uint8)</t>
    </r>
    <r>
      <rPr>
        <sz val="10"/>
        <color theme="1"/>
        <rFont val="Arial"/>
        <family val="2"/>
      </rPr>
      <t>TRATYPE_MT_SY)</t>
    </r>
  </si>
  <si>
    <t>QAC_1854</t>
  </si>
  <si>
    <t>5: The 2nd operand is 'essentially unsigned' (unsigned short) but will be implicitly converted to a signed type (signed long) in this conditional operation. MISRA C:2012 Rule-10.4</t>
  </si>
  <si>
    <r>
      <t xml:space="preserve">BasSvrAppl_St_CurrTst = (BasSvrAppl_St_CurrTst_Extd &lt; QCKSTRT_TSTNUMRANGE_END) ? </t>
    </r>
    <r>
      <rPr>
        <sz val="10"/>
        <color rgb="FFFF0000"/>
        <rFont val="Arial"/>
        <family val="2"/>
      </rPr>
      <t>(uint8)</t>
    </r>
    <r>
      <rPr>
        <sz val="10"/>
        <color theme="1"/>
        <rFont val="Arial"/>
        <family val="2"/>
      </rPr>
      <t xml:space="preserve">BasSvrAppl_St_CurrTst_Extd : </t>
    </r>
    <r>
      <rPr>
        <sz val="10"/>
        <color rgb="FFFF0000"/>
        <rFont val="Arial"/>
        <family val="2"/>
      </rPr>
      <t>(uint8)</t>
    </r>
    <r>
      <rPr>
        <sz val="10"/>
        <color theme="1"/>
        <rFont val="Arial"/>
        <family val="2"/>
      </rPr>
      <t>QCKSTRT_TSTNUMRANGE_END;</t>
    </r>
  </si>
  <si>
    <t>QAC_1860</t>
  </si>
  <si>
    <t>5: The operands of this arithmetic operator are of different 'essential signedness' but will generate a result of type 'signed int'. MISRA C:2012 Rule-10.4</t>
  </si>
  <si>
    <t>ctRemain -= 1;</t>
  </si>
  <si>
    <r>
      <t xml:space="preserve"> ctRemain -=</t>
    </r>
    <r>
      <rPr>
        <sz val="10"/>
        <color rgb="FFFF0000"/>
        <rFont val="Arial"/>
        <family val="2"/>
      </rPr>
      <t xml:space="preserve"> (uint8)</t>
    </r>
    <r>
      <rPr>
        <sz val="10"/>
        <color theme="1"/>
        <rFont val="Arial"/>
        <family val="2"/>
      </rPr>
      <t>1;</t>
    </r>
  </si>
  <si>
    <t>QAC_1861</t>
  </si>
  <si>
    <t>5: The operands of this bitwise operator are of different 'essential signedness' but will generate a result of type 'signed int'. MISRA C:2012 Rule-10.4</t>
  </si>
  <si>
    <t>stSubState |= SHTRP_SUB_BREAK;</t>
  </si>
  <si>
    <t>stSubState |= (uint8)SHTRP_SUB_BREAK;</t>
  </si>
  <si>
    <r>
      <t xml:space="preserve">stSubState |= </t>
    </r>
    <r>
      <rPr>
        <sz val="10"/>
        <color rgb="FFFF0000"/>
        <rFont val="Arial"/>
        <family val="2"/>
      </rPr>
      <t>(uint8)</t>
    </r>
    <r>
      <rPr>
        <sz val="10"/>
        <color theme="1"/>
        <rFont val="Arial"/>
        <family val="2"/>
      </rPr>
      <t>SHTRP_SUB_BREAK;</t>
    </r>
  </si>
  <si>
    <t>QAC_1862</t>
  </si>
  <si>
    <t>5: The operands of this relational operator are of different 'essential signedness' but will both be promoted to 'signed int' for comparison. MISRA C:2012 Rule-10.4</t>
  </si>
  <si>
    <t>if (numCurrTst &gt; 0)</t>
  </si>
  <si>
    <r>
      <t xml:space="preserve"> if (numCurrTst &gt;</t>
    </r>
    <r>
      <rPr>
        <sz val="10"/>
        <color rgb="FFFF0000"/>
        <rFont val="Arial"/>
        <family val="2"/>
      </rPr>
      <t xml:space="preserve"> (uint16)</t>
    </r>
    <r>
      <rPr>
        <sz val="10"/>
        <color theme="1"/>
        <rFont val="Arial"/>
        <family val="2"/>
      </rPr>
      <t>0)</t>
    </r>
  </si>
  <si>
    <t>QAC_1863</t>
  </si>
  <si>
    <t>5: The operands of this equality operator are of different 'essential signedness' but will both be promoted to 'signed int' for comparison. MISRA C:2012 Rule-10.4</t>
  </si>
  <si>
    <t>if( numCurrTst == 49 )</t>
  </si>
  <si>
    <r>
      <t xml:space="preserve">if( numCurrTst == </t>
    </r>
    <r>
      <rPr>
        <sz val="10"/>
        <color rgb="FFFF0000"/>
        <rFont val="Arial"/>
        <family val="2"/>
      </rPr>
      <t>(uint16)</t>
    </r>
    <r>
      <rPr>
        <sz val="10"/>
        <color theme="1"/>
        <rFont val="Arial"/>
        <family val="2"/>
      </rPr>
      <t>49 )</t>
    </r>
  </si>
  <si>
    <t>QAC_1881</t>
  </si>
  <si>
    <t>5: The operands of this equality operator are expressions of different 'essential type' categories (unsigned and Boolean). MISRA C:2012 Rule-10.4</t>
  </si>
  <si>
    <t>if (stEOMLck != FALSE)</t>
  </si>
  <si>
    <r>
      <t>if (stEOMLck !=</t>
    </r>
    <r>
      <rPr>
        <sz val="10"/>
        <color rgb="FFFF0000"/>
        <rFont val="Arial"/>
        <family val="2"/>
      </rPr>
      <t xml:space="preserve"> (uint8)0</t>
    </r>
    <r>
      <rPr>
        <sz val="10"/>
        <color theme="1"/>
        <rFont val="Arial"/>
        <family val="2"/>
      </rPr>
      <t>)</t>
    </r>
  </si>
  <si>
    <r>
      <t xml:space="preserve">if (stEOMLck != </t>
    </r>
    <r>
      <rPr>
        <sz val="10"/>
        <color rgb="FFFF0000"/>
        <rFont val="Arial"/>
        <family val="2"/>
      </rPr>
      <t>FALSE)</t>
    </r>
  </si>
  <si>
    <t>QAC_3344</t>
  </si>
  <si>
    <t>5: Controlling expression is not an 'essentially Boolean' expression. MISRA C:2012 Rule-14.4</t>
  </si>
  <si>
    <t>if (ShtrpLib_stRoutDem)</t>
  </si>
  <si>
    <t>Add logic compare</t>
  </si>
  <si>
    <r>
      <t xml:space="preserve"> if (ShtrpLib_stRoutDem </t>
    </r>
    <r>
      <rPr>
        <sz val="10"/>
        <color rgb="FFFF0000"/>
        <rFont val="Arial"/>
        <family val="2"/>
      </rPr>
      <t>&gt; (uint8)0</t>
    </r>
    <r>
      <rPr>
        <sz val="10"/>
        <color theme="1"/>
        <rFont val="Arial"/>
        <family val="2"/>
      </rPr>
      <t>)</t>
    </r>
  </si>
  <si>
    <t>QAC_3415</t>
  </si>
  <si>
    <t>5: Right hand operand of '&amp;&amp;' or '||' is an expression with possible side effects. MISRA C:2012 Rule-13.5</t>
  </si>
  <si>
    <t>if(((Shtrp_SetActModeWOD(FALSE)) == SHTRP_WOD) || ((Shtrp_SetActModeWOD(FALSE)) == SHTRP_EXTSTI))</t>
  </si>
  <si>
    <t xml:space="preserve">                    if(((Shtrp_SetActModeWOD(FALSE)) == SHTRP_WOD) || ((Shtrp_SetActModeWOD(FALSE)) == SHTRP_EXTSTI))
                    {
                        SrvB_SetBitU8(&amp;tempActMode, 0x05);/* Set the 5th bit to indicate without driver,this is to differentiate between "WD" and "WOD" in Switched mode*/
                    }</t>
  </si>
  <si>
    <r>
      <t xml:space="preserve">if((Shtrp_SetActModeWOD(FALSE)) == (uint8)SHTRP_WOD)
                    {
                        SrvB_SetBitU8(&amp;tempActMode, 0x05);/* Set the 5th bit to indicate without driver,this is to
                                                                                                                                                       differentiate between "WD" and "WOD" in Switched mode*/
                    }
                    </t>
    </r>
    <r>
      <rPr>
        <sz val="10"/>
        <color rgb="FFFF0000"/>
        <rFont val="Arial"/>
        <family val="2"/>
      </rPr>
      <t>else if</t>
    </r>
    <r>
      <rPr>
        <sz val="10"/>
        <color theme="1"/>
        <rFont val="Arial"/>
        <family val="2"/>
      </rPr>
      <t xml:space="preserve">((Shtrp_SetActModeWOD(FALSE)) == (uint8)SHTRP_EXTSTI)
                    {
                        SrvB_SetBitU8(&amp;tempActMode, 0x05);/* Set the 5th bit to indicate without driver,this is to differentiate between "WD" and "WOD" in Switched mode*/
                    }
                    </t>
    </r>
    <r>
      <rPr>
        <sz val="10"/>
        <color rgb="FFFF0000"/>
        <rFont val="Arial"/>
        <family val="2"/>
      </rPr>
      <t>else
                    {
                        // Do nothing
                    }</t>
    </r>
  </si>
  <si>
    <t>1. add temporary variable to store results of right hand comparision operator for "&amp;&amp;" 
2. split to if and else if for "||"</t>
  </si>
  <si>
    <t>QAC_3453</t>
  </si>
  <si>
    <t>6: A function could probably be used instead of this function-like macro. MISRA C:2012 Dir-4.9</t>
  </si>
  <si>
    <t>#define BASSVRAPPL_ST_MODECHECK(mode)  (((mode) == SHTRP_SWITCHED)  ||  ((mode) == SHTRP_WD) ||\</t>
  </si>
  <si>
    <t>Change to use inline function</t>
  </si>
  <si>
    <t>static inline bool BASSVRAPPL_ST_MODECHECK(uint8 mode){
    return((mode == (uint8)SHTRP_SWITCHED)  ||  (mode == (uint8)SHTRP_WD) || (mode == (uint8)SHTRP_WOD) || (mode == (uint8)SHTRP_EXTSTI));
}</t>
  </si>
  <si>
    <t>QAC_4304</t>
  </si>
  <si>
    <t>6: An expression of 'essentially Boolean' type (_Bool) is being cast to unsigned type 'unsigned long'. MISRA C:2012 Rule-10.5</t>
  </si>
  <si>
    <t>(uint32)((Shtrp_tEngSig_s32  &gt;= Shtrp_xTEngMn_C)  &amp;&amp;</t>
  </si>
  <si>
    <t>(uint32)((Shtrp_tEngSig_s32  &gt;= Shtrp_xTEngMn_C)  &amp; (Shtrp_tAnsSig_s32  &lt;= Shtrp_xTAnsMx_C))</t>
  </si>
  <si>
    <r>
      <t>((Shtrp_tEngSig_s32  &gt;= Shtrp_xTEngMn_C)  &amp; (Shtrp_tAnsSig_s32  &lt;= Shtrp_xTAnsMx_C)</t>
    </r>
    <r>
      <rPr>
        <sz val="10"/>
        <color rgb="FFFF0000"/>
        <rFont val="Arial"/>
        <family val="2"/>
      </rPr>
      <t>? (uint32)1: (uint32)0)</t>
    </r>
  </si>
  <si>
    <t>Add logic to convert to correct type of variable</t>
  </si>
  <si>
    <t>QAC_4330</t>
  </si>
  <si>
    <t>6: An expression of 'essentially signed' type (signed char) is being cast to Boolean type '_Bool'. MISRA C:2012 Rule-10.5</t>
  </si>
  <si>
    <t>BasSvrAppl_St_ACShutOffReq  = (bool)((ShtrpLib_TstActMode &amp; SHTRP_ACOFF_WOD) ? 1 : 0);</t>
  </si>
  <si>
    <t xml:space="preserve"> BasSvrAppl_St_ACShutOffReq  = (bool)((ShtrpLib_TstActMode &amp; SHTRP_ACOFF_WOD) ? 1 : 0);</t>
  </si>
  <si>
    <t>BasSvrAppl_St_ACShutOffReq  = (((ShtrpLib_TstActMode &amp; (uint8)SHTRP_ACOFF_WOD)&gt; (uint8)0) ? TRUE : FALSE);</t>
  </si>
  <si>
    <r>
      <t xml:space="preserve">BasSvrAppl_St_ACShutOffReq  = (((ShtrpLib_TstActMode &amp; (uint8)SHTRP_ACOFF_WOD)&gt; (uint8)0) </t>
    </r>
    <r>
      <rPr>
        <sz val="10"/>
        <color rgb="FFFF0000"/>
        <rFont val="Arial"/>
        <family val="2"/>
      </rPr>
      <t>? TRUE : FALSE</t>
    </r>
    <r>
      <rPr>
        <sz val="10"/>
        <color theme="1"/>
        <rFont val="Arial"/>
        <family val="2"/>
      </rPr>
      <t>);</t>
    </r>
  </si>
  <si>
    <t>QAC_4404</t>
  </si>
  <si>
    <t>5: An expression of 'essentially Boolean' type (_Bool) is being converted to unsigned type, 'unsigned char' on assignment. MISRA C:2012 Rule-10.3</t>
  </si>
  <si>
    <t>stToChk = TRUE;</t>
  </si>
  <si>
    <r>
      <t xml:space="preserve"> stToChk = </t>
    </r>
    <r>
      <rPr>
        <sz val="10"/>
        <color rgb="FFFF0000"/>
        <rFont val="Arial"/>
        <family val="2"/>
      </rPr>
      <t>(uint8)1;</t>
    </r>
  </si>
  <si>
    <t>QAC_4424</t>
  </si>
  <si>
    <t>5: An expression of 'essentially enum' type (BasUtil_stFunc_e) is being converted to unsigned type, 'unsigned short' on assignment. MISRA C:2012 Rule-10.3</t>
  </si>
  <si>
    <t>stRet_u16 = BASUTIL_ST_TPTH;</t>
  </si>
  <si>
    <r>
      <t xml:space="preserve">stRet_u16 = </t>
    </r>
    <r>
      <rPr>
        <sz val="10"/>
        <color rgb="FFFF0000"/>
        <rFont val="Arial"/>
        <family val="2"/>
      </rPr>
      <t>(uint16)</t>
    </r>
    <r>
      <rPr>
        <sz val="10"/>
        <color theme="1"/>
        <rFont val="Arial"/>
        <family val="2"/>
      </rPr>
      <t>BASUTIL_ST_TPTH;</t>
    </r>
  </si>
  <si>
    <t>QAC_4430</t>
  </si>
  <si>
    <t>5: An expression of 'essentially signed' type (signed int) is being converted to Boolean type, '_Bool' on assignment. MISRA C:2012 Rule-10.3</t>
  </si>
  <si>
    <t>stFID = stFID | (!(DSM_GetDscPermission(FId_ShortTr_ExtSti) &amp;&amp; (DSM_GetDscPermission(FId_ShortTrGbx) || (PT_stTraType == TRATYPE_MT_SY))));</t>
  </si>
  <si>
    <t>Change bit operator to logic operator</t>
  </si>
  <si>
    <r>
      <t xml:space="preserve">stFID = stFID </t>
    </r>
    <r>
      <rPr>
        <sz val="10"/>
        <color rgb="FFFF0000"/>
        <rFont val="Arial"/>
        <family val="2"/>
      </rPr>
      <t>||</t>
    </r>
    <r>
      <rPr>
        <sz val="10"/>
        <color theme="1"/>
        <rFont val="Arial"/>
        <family val="2"/>
      </rPr>
      <t xml:space="preserve"> (!(DSM_GetDscPermission(FId_ShortTr_ExtSti) &amp;&amp; (DSM_GetDscPermission(FId_ShortTrGbx) || (PT_stTraType == (uint8)TRATYPE_MT_SY))));</t>
    </r>
  </si>
  <si>
    <r>
      <t xml:space="preserve">stFID = stFID </t>
    </r>
    <r>
      <rPr>
        <sz val="10"/>
        <color rgb="FFFF0000"/>
        <rFont val="Arial"/>
        <family val="2"/>
      </rPr>
      <t>|</t>
    </r>
    <r>
      <rPr>
        <sz val="10"/>
        <color theme="1"/>
        <rFont val="Arial"/>
        <family val="2"/>
      </rPr>
      <t xml:space="preserve"> (!(DSM_GetDscPermission(FId_ShortTr_ExtSti) &amp;&amp; (DSM_GetDscPermission(FId_ShortTrGbx) || (PT_stTraType == TRATYPE_MT_SY))));</t>
    </r>
  </si>
  <si>
    <t>QAC_4434</t>
  </si>
  <si>
    <t>5: A non-constant expression of 'essentially signed' type (signed long) is being converted to unsigned type, 'unsigned char' on assignment. MISRA C:2012 Rule-10.3</t>
  </si>
  <si>
    <t xml:space="preserve"> BasSvrAppl_St_CurrTst = (BasSvrAppl_St_CurrTst_Extd &lt; (uint16)QCKSTRT_TSTNUMRANGE_END) ? (uint8)BasSvrAppl_St_CurrTst_Extd : (uint8)QCKSTRT_TSTNUMRANGE_END;</t>
  </si>
  <si>
    <t>QAC_4502</t>
  </si>
  <si>
    <t>5: An expression of 'essentially Boolean' type (_Bool) is being used as the right-hand operand of this bitwise operator (|). MISRA C:2012 Rule-10.1</t>
  </si>
  <si>
    <t>QAC_4505</t>
  </si>
  <si>
    <t>5: An expression of 'essentially Boolean' type (_Bool) is being used as the left-hand operand of this relational operator (&gt;). MISRA C:2012 Rule-10.1</t>
  </si>
  <si>
    <t>errflgs = (bool) (errflgs || ( DSM_GetSFCErD(DSM_GetCheckStatus(dfc)) &gt; 0));</t>
  </si>
  <si>
    <t xml:space="preserve"> errflgs = (errflgs || ( DSM_GetSFCErD(DSM_GetCheckStatus(dfc))));</t>
  </si>
  <si>
    <t>QAC_4539</t>
  </si>
  <si>
    <t>5: An expression of 'essentially signed' type (signed int) is being used as the first operand of this conditional operator (?). MISRA C:2012 Rule-10.1</t>
  </si>
  <si>
    <t>QAC_4542</t>
  </si>
  <si>
    <t>5: A non-negative constant expression of 'essentially signed' type (signed char) is being used as the right-hand operand of this bitwise operator (|). MISRA C:2012 Rule-10.1</t>
  </si>
  <si>
    <t>QAC_4558</t>
  </si>
  <si>
    <t>5: An expression of 'essentially unsigned' type (unsigned char) is being used as the right-hand operand of this logical operator (||). MISRA C:2012 Rule-10.1</t>
  </si>
  <si>
    <t>if (( 0 == DFES_ctSrv) || (Shtrp_stFCMMode))</t>
  </si>
  <si>
    <t>if (( (uint8)0 == DFES_ctSrv) || (Shtrp_stFCMMode &gt; (uint8)0))</t>
  </si>
  <si>
    <t>QAC_4559</t>
  </si>
  <si>
    <t>5: An expression of 'essentially unsigned' type (unsigned char) is being used as the first operand of this conditional operator (?). MISRA C:2012 Rule-10.1</t>
  </si>
  <si>
    <t>Shtrp_stFCMMode = (uint8)((ShtrpLib_TstActMode &amp; SHTRP_FCMMODE_WD) ? 1 : 0);</t>
  </si>
  <si>
    <r>
      <t xml:space="preserve">Shtrp_stFCMMode = (uint8)(((ShtrpLib_TstActMode &amp; (uint8)SHTRP_FCMMODE_WOD) </t>
    </r>
    <r>
      <rPr>
        <sz val="10"/>
        <color rgb="FFFF0000"/>
        <rFont val="Arial"/>
        <family val="2"/>
      </rPr>
      <t>&gt; (uint8)0)</t>
    </r>
    <r>
      <rPr>
        <sz val="10"/>
        <color theme="1"/>
        <rFont val="Arial"/>
        <family val="2"/>
      </rPr>
      <t xml:space="preserve"> ? 1 : 0);</t>
    </r>
  </si>
  <si>
    <t>QAC_3395</t>
  </si>
  <si>
    <t>6: Extra parentheses recommended. A * or / operation is the operand of a + or - operator. MISRA C:2012 Rule-12.1</t>
  </si>
  <si>
    <t>static uint32 ATSConf_au32[BASSVRAPPL_EXTSTIIF_ATSNUMIDX];</t>
  </si>
  <si>
    <t>#define BASSVRAPPL_EXTSTIIF_ATSNUMIDX    (BASSVRAPPL_EXTSTI_NUMATS/32 + 1)</t>
  </si>
  <si>
    <r>
      <t>#define BASSVRAPPL_EXTSTIIF_ATSNUMIDX    (</t>
    </r>
    <r>
      <rPr>
        <sz val="10"/>
        <color rgb="FFFF0000"/>
        <rFont val="Arial"/>
        <family val="2"/>
      </rPr>
      <t>(</t>
    </r>
    <r>
      <rPr>
        <sz val="10"/>
        <color theme="1"/>
        <rFont val="Arial"/>
        <family val="2"/>
      </rPr>
      <t>BASSVRAPPL_EXTSTI_NUMATS/32</t>
    </r>
    <r>
      <rPr>
        <sz val="10"/>
        <color rgb="FFFF0000"/>
        <rFont val="Arial"/>
        <family val="2"/>
      </rPr>
      <t>)</t>
    </r>
    <r>
      <rPr>
        <sz val="10"/>
        <color theme="1"/>
        <rFont val="Arial"/>
        <family val="2"/>
      </rPr>
      <t xml:space="preserve"> + 1)</t>
    </r>
  </si>
  <si>
    <t>Add parentheses</t>
  </si>
  <si>
    <t>QAC_3408</t>
  </si>
  <si>
    <t>5: 'LocATS' has external linkage and is being defined without any previous declaration. MISRA C:2012 Rule-8.4</t>
  </si>
  <si>
    <t>uint16 LocATS[BASSVRAPPL_EXTSTI_NUMATS], LocVal[BASSVRAPPL_EXTSTI_NUMATS], ATSCpy[BASSVRAPPL_EXTSTI_NUMATS], ATSValCpy[BASSVRAPPL_EXTSTI_NUMATS], ATSStop[BASSVRAPPL_EXTSTI_NUMATS];</t>
  </si>
  <si>
    <r>
      <rPr>
        <sz val="10"/>
        <color rgb="FFFF0000"/>
        <rFont val="Arial"/>
        <family val="2"/>
      </rPr>
      <t>static</t>
    </r>
    <r>
      <rPr>
        <sz val="10"/>
        <color theme="1"/>
        <rFont val="Arial"/>
        <family val="2"/>
      </rPr>
      <t xml:space="preserve"> uint16 LocATS[BASSVRAPPL_EXTSTI_NUMATS], LocVal[BASSVRAPPL_EXTSTI_NUMATS], ATSCpy[BASSVRAPPL_EXTSTI_NUMATS], ATSValCpy[BASSVRAPPL_EXTSTI_NUMATS], ATSStop[BASSVRAPPL_EXTSTI_NUMATS];</t>
    </r>
  </si>
  <si>
    <t>Change to static variable in case this variable is not used in other files</t>
  </si>
  <si>
    <t>QAC_4440</t>
  </si>
  <si>
    <t>5: An expression of 'essentially unsigned' type (unsigned char) is being converted to Boolean type, '_Bool' on assignment. MISRA C:2012 Rule-10.3</t>
  </si>
  <si>
    <t>Sia_ExtStiReq((uint8)EXTSTI_STOP);</t>
  </si>
  <si>
    <r>
      <t>Sia_ExtStiReq(</t>
    </r>
    <r>
      <rPr>
        <sz val="10"/>
        <color rgb="FFFF0000"/>
        <rFont val="Arial"/>
        <family val="2"/>
      </rPr>
      <t>(bool)</t>
    </r>
    <r>
      <rPr>
        <sz val="10"/>
        <color theme="1"/>
        <rFont val="Arial"/>
        <family val="2"/>
      </rPr>
      <t>EXTSTI_STOP);</t>
    </r>
  </si>
  <si>
    <t>Change casting type</t>
  </si>
  <si>
    <t>QAC_2889</t>
  </si>
  <si>
    <t>6: This function has more than one 'return' path. MISRA C:2012 Rule-15.5</t>
  </si>
  <si>
    <t>uint16 BasSvrAppl_ExtStiIf_UpdtActr(const uint8* ReqBuf , uint16 ReqLen)</t>
  </si>
  <si>
    <t>if(ReqLen &lt; 3)
    {
        return((uint16)BASUTIL_ST_INV_LENGTH);
    }
return(Return_u16);</t>
  </si>
  <si>
    <r>
      <t xml:space="preserve">if(ReqLen &lt; 3)
{
     </t>
    </r>
    <r>
      <rPr>
        <sz val="10"/>
        <color rgb="FFFF0000"/>
        <rFont val="Arial"/>
        <family val="2"/>
      </rPr>
      <t>Return_u16 = (uint16)BASUTIL_ST_INV_LENGTH;</t>
    </r>
    <r>
      <rPr>
        <sz val="10"/>
        <color theme="1"/>
        <rFont val="Arial"/>
        <family val="2"/>
      </rPr>
      <t xml:space="preserve">
}
</t>
    </r>
    <r>
      <rPr>
        <sz val="10"/>
        <color rgb="FFFF0000"/>
        <rFont val="Arial"/>
        <family val="2"/>
      </rPr>
      <t>else
{
    ...
}</t>
    </r>
    <r>
      <rPr>
        <sz val="10"/>
        <color theme="1"/>
        <rFont val="Arial"/>
        <family val="2"/>
      </rPr>
      <t xml:space="preserve">
return(Return_u16);</t>
    </r>
  </si>
  <si>
    <t>QAC_2461</t>
  </si>
  <si>
    <t>5: Loop control variable in this 'for' statement, Index, has file scope. MISRA C:2012 Rule-14.2</t>
  </si>
  <si>
    <t>for(Index = 0;Index &lt; BASSVRAPPL_EXTSTI_NUMATS;Index++)</t>
  </si>
  <si>
    <t>Change to use if else</t>
  </si>
  <si>
    <t>uint8 Index; //Global variable</t>
  </si>
  <si>
    <t>Change to local variable</t>
  </si>
  <si>
    <t>QAC_2463</t>
  </si>
  <si>
    <t>5: The variable incremented in the third expression of this 'for' statement is not the variable identified as the 'loop control variable' (ctsearch_ui). MISRA C:2012 Rule-14.2</t>
  </si>
  <si>
    <t>for (ctsearch_ui = 0; (BasSvrAppl_ExtStiIf_ctSearch &lt; BASSVRAPPL_RDBIDID_MAX_SY) &amp;&amp;
                 (ctsearch_ui &lt; BASSVRAPPL_SEARCHMAXSIZE);ctsearch_ui++, BasSvrAppl_ExtStiIf_ctSearch++)</t>
  </si>
  <si>
    <r>
      <t xml:space="preserve">for (ctsearch_ui = 0; (BasSvrAppl_ExtStiIf_ctSearch &lt; (uint32)BASSVRAPPL_RDBIDID_MAX_SY) &amp;&amp;
                 (ctsearch_ui &lt; (uint)BASSVRAPPL_SEARCHMAXSIZE);ctsearch_ui++)
            {
                if (BasSvrAppl_ExtStiIf_SIGDID_Au16[BasSvrAppl_ExtStiIf_nSig] == BasSvrAppl_RdbiDid_CA[BasSvrAppl_ExtStiIf_ctSearch])
                {
                    BasSvrAppl_ExtStiIf_SIG_Au16[BasSvrAppl_ExtStiIf_nSig] = BasSvrAppl_RdbiSignal_CA[BasSvrAppl_ExtStiIf_ctSearch];
                    BasSvrAppl_ExtStiIf_nSig++;
                    BasSvrAppl_ExtStiIf_ctSearch = 0;
                    break;
                }
                </t>
    </r>
    <r>
      <rPr>
        <sz val="10"/>
        <color rgb="FFFF0000"/>
        <rFont val="Arial"/>
        <family val="2"/>
      </rPr>
      <t>BasSvrAppl_ExtStiIf_ctSearch++;</t>
    </r>
    <r>
      <rPr>
        <sz val="10"/>
        <color theme="1"/>
        <rFont val="Arial"/>
        <family val="2"/>
      </rPr>
      <t xml:space="preserve">
            }</t>
    </r>
  </si>
  <si>
    <t>Move one variable incremented</t>
  </si>
  <si>
    <r>
      <t xml:space="preserve">uint16 BasSvrAppl_ExtStiIf_UpdtActr(const uint8* ReqBuf , uint16 ReqLen)
{
    uint Idx, IntIdx, BufIdx = 0;
    uint16 NumATSAdded, ATSID, NumATSPrsnt;
    uint16 Return_u16;
    uint8  Action, StopCnt;
    </t>
    </r>
    <r>
      <rPr>
        <sz val="10"/>
        <color rgb="FFFF0000"/>
        <rFont val="Arial"/>
        <family val="2"/>
      </rPr>
      <t>uint8  Index; //Local variable</t>
    </r>
    <r>
      <rPr>
        <sz val="10"/>
        <color theme="1"/>
        <rFont val="Arial"/>
        <family val="2"/>
      </rPr>
      <t xml:space="preserve">
    StopCnt = 0;</t>
    </r>
  </si>
  <si>
    <t>QAC_3673</t>
  </si>
  <si>
    <t>5: The object addressed by the pointer parameter 'dStatics_pv' is not modified and so the pointer could be of type 'pointer to const'. MISRA C:2012 Rule-8.13</t>
  </si>
  <si>
    <t>Misra 2012 Support</t>
  </si>
  <si>
    <t>FCI</t>
  </si>
  <si>
    <t>Since some other functions uses dStatics_pv. It is not possible to remove this warning.</t>
  </si>
  <si>
    <t>solved</t>
  </si>
  <si>
    <t>QAC_3440</t>
  </si>
  <si>
    <t>5: Using the value resulting from a ++ or -- operation. MISRA C:2012 Rule-13.3</t>
  </si>
  <si>
    <t>Statics_ps-&gt;TgtBuf_pu8[Statics_ps-&gt;numTgtBytes_u16++] = DateBuf_au8[1u+ (cnt_ui * 3u)];</t>
  </si>
  <si>
    <t>Increment after using in an operation.</t>
  </si>
  <si>
    <t>Statics_ps-&gt;TgtBuf_pu8[Statics_ps-&gt;numTgtBytes_u16] = DateBuf_au8[1u+ (cnt_ui * 3u)];
Statics_ps-&gt;numTgtBytes_u16++;</t>
  </si>
  <si>
    <t>QAC_624</t>
  </si>
  <si>
    <t>7: Function 'BasSvrAppl_DiagCom_ConsBit' is declared using typedefs which are different to those in a previous declaration. MISRA C:2012 Rule-8.3</t>
  </si>
  <si>
    <t>uint16 BasSvrAppl_DiagCom_ConsBit(void *dStatics_pv, uint8 stMode_u8)</t>
  </si>
  <si>
    <t>This is a QAC tool issue. Issue will be reported to PRQA</t>
  </si>
  <si>
    <t>Responsible : Cchecker Team, MISRA Team                                         This assessment can be re-used untill June 2017</t>
  </si>
  <si>
    <t>5: An expression of 'essentially Boolean' type (_Bool) is being cast to unsigned type 'unsigned int'. MISRA C:2012 Rule-10.5</t>
  </si>
  <si>
    <t>cyclflgs = (bool) (cyclflgs &amp;&amp; ( DSM_GetSFCZyf(DSM_GetCheckStatus(dfc)) &gt; 0u));</t>
  </si>
  <si>
    <t>FC-I</t>
  </si>
  <si>
    <t>This warning appears because DSMBas function. This will be fixed in DSMBas package.</t>
  </si>
  <si>
    <t>Responsible: DSMBasTeam
This warning assessment can be reused until  end of 2017</t>
  </si>
  <si>
    <t>5: Extra parentheses recommended. A * or / operation is the operand of a + or - operator. MISRA C:2012 Rule-12.1</t>
  </si>
  <si>
    <t>uint8     Actr_MAP[1+1+2+5+2*5];</t>
  </si>
  <si>
    <t>This warning is because of ICE tool issue, which will be fixed in the upcoming versions. 
Jira number 160121: https://rb-ubk-clm-02.de.bosch.com:9443/ccm/auth/authrequired#action=com.ibm.team.workitem.viewWorkItem&amp;id=160121</t>
  </si>
  <si>
    <t>Responsible: ICE team.
This warning assessment can be re-used until end of 2017</t>
  </si>
  <si>
    <t>QAC_3004</t>
  </si>
  <si>
    <t>7: This integral constant expression is being interpreted as a NULL pointer constant. MISRA C:2012 Rule-11.9</t>
  </si>
  <si>
    <t>PARAM_UNUSED(dStatics_pv);</t>
  </si>
  <si>
    <t>This warning is because of wrong definition of PARAM_UNUSED. This shall be included in M12  enabler.</t>
  </si>
  <si>
    <t>Responsible: MISRA team.
This warning assessment can be used until next M12 enabler V1.2.0 is released</t>
  </si>
  <si>
    <t>QAC_306</t>
  </si>
  <si>
    <t>5: [I] Cast between a pointer to object and an integral type. MISRA C:2012 Rule-11.4,MISRA C:2012 Rule-11.6</t>
  </si>
  <si>
    <t>Config_pcs = (const UAcc_ConfEeprom_t*)(Statics_ps-&gt;Config_u32);</t>
  </si>
  <si>
    <t xml:space="preserve">
This warning is due to casting address to integer type or vice versa. This is required for the functionality and can't be removed</t>
  </si>
  <si>
    <t/>
  </si>
  <si>
    <t>QAC_307</t>
  </si>
  <si>
    <t>7: [u] Cast between a pointer to object and a pointer to function. MISRA C:2012 Rule-1.3,MISRA C:2012 Rule-11.1</t>
  </si>
  <si>
    <t>UaccAppl_EcuSecu_GetEcuMode_pfn = (uint32 (*)(rba_EcuSecu_EcuMode_StM_tst *param1_ps)) _MemlayFuncAddrPtr;</t>
  </si>
  <si>
    <t>This warning is due to casting of different pointer object type which can't  be avoided in MEMLAY functions</t>
  </si>
  <si>
    <t>QAC_310</t>
  </si>
  <si>
    <t>7: Casting to different object pointer type. MISRA C:2012 Rule-11.3</t>
  </si>
  <si>
    <t>DiaBas_SwapBytes32((uint8 *)&amp;_MemlayFuncAddrPtr);</t>
  </si>
  <si>
    <t xml:space="preserve">Special case:This warning is due to casting of different pointer object type which can not be avoided </t>
  </si>
  <si>
    <t>Exemptions:
1. Special Case for BC: SecuLibs. After analysis this warning does not cause any failure for SecuLibs and removal is also not possible. Therefore LOW_PRIO Setting is allowed for the SecuLibs Team .</t>
  </si>
  <si>
    <t>QAC_316</t>
  </si>
  <si>
    <t>5: [I] Cast from a pointer to void to a pointer to object type. MISRA C:2012 Rule-11.5</t>
  </si>
  <si>
    <t>Statics_ps = (UAcc_StaticPara_t*)dStatics_pv;</t>
  </si>
  <si>
    <t>Special case:This warning is due to casting of different pointer object type from void which can not be avoided.</t>
  </si>
  <si>
    <t>QAC_317</t>
  </si>
  <si>
    <t>5: [I] Implicit conversion from a pointer to void to a pointer to object type. MISRA C:2012 Rule-11.5</t>
  </si>
  <si>
    <t>_MemlayFuncAddrPtr =  rba_MemLay_GetAddresPtrFromInfotableEntry(_MemlayInfoTabEntryPtr);</t>
  </si>
  <si>
    <t>This warning is appearing due to calling BSW functions</t>
  </si>
  <si>
    <t>bInit = ((bool)(Com_trqGbxIntv == FRM_NEUTVAL_S16) || (!ComCIL_GetFrmRxOnce(COM_RXFRM_GBX01_BP)));</t>
  </si>
  <si>
    <t>Change operand order</t>
  </si>
  <si>
    <t>((!ComCIL_GetFrmRxOnce(COM_RXFRM_GBX01_BP)) || (bool)(Com_trqGbxIntv == FRM_NEUTVAL_S16));</t>
  </si>
  <si>
    <t>5: An expression of 'essentially unsigned' type (unsigned char) is being used as the left-hand operand of this logical operator (&amp;&amp;). MISRA C:2012 Rule-10.1</t>
  </si>
  <si>
    <t>bASTIntv = (bool)(Com_stAST &amp;&amp; bGearShftAct);</t>
  </si>
  <si>
    <t>Add conditional operator</t>
  </si>
  <si>
    <t>bASTIntv = (bool)(((Com_stAST &gt; 0U)? TRUE:FALSE) &amp;&amp; bGearShftAct);</t>
  </si>
  <si>
    <t>QAC_4463</t>
  </si>
  <si>
    <t>5: A constant expression of 'essentially signed' type (signed long) is being converted to narrower signed type, 'signed short' on assignment. MISRA C:2012 Rule-10.3</t>
  </si>
  <si>
    <t>trqAdv = TRQ_MIN;</t>
  </si>
  <si>
    <t>Type Casting</t>
  </si>
  <si>
    <t>trqAdv = (sint16)TRQ_MIN;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</si>
</sst>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FF0000"/>
      <name val="Arial"/>
      <family val="2"/>
    </font>
    <font>
      <b/>
      <sz val="14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CFFCC"/>
        <bgColor indexed="64"/>
      </patternFill>
    </fill>
  </fills>
  <borders count="20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12" fillId="20" borderId="1" applyNumberFormat="0" applyAlignment="0" applyProtection="0"/>
    <xf numFmtId="0" fontId="13" fillId="20" borderId="2" applyNumberFormat="0" applyAlignment="0" applyProtection="0"/>
    <xf numFmtId="0" fontId="11" fillId="7" borderId="2" applyNumberFormat="0" applyAlignment="0" applyProtection="0"/>
    <xf numFmtId="0" fontId="18" fillId="0" borderId="4" applyNumberFormat="0" applyFill="0" applyAlignment="0" applyProtection="0"/>
    <xf numFmtId="0" fontId="1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10" fillId="22" borderId="0" applyNumberFormat="0" applyBorder="0" applyAlignment="0" applyProtection="0"/>
    <xf numFmtId="0" fontId="1" fillId="0" borderId="0"/>
    <xf numFmtId="0" fontId="1" fillId="23" borderId="9" applyNumberFormat="0" applyFont="0" applyAlignment="0" applyProtection="0"/>
    <xf numFmtId="0" fontId="9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7" fillId="0" borderId="7" applyNumberFormat="0" applyFill="0" applyAlignment="0" applyProtection="0"/>
    <xf numFmtId="0" fontId="7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5" fillId="21" borderId="3" applyNumberFormat="0" applyAlignment="0" applyProtection="0"/>
    <xf numFmtId="0" fontId="23" fillId="26" borderId="0" applyNumberFormat="0" applyBorder="0" applyAlignment="0" applyProtection="0"/>
    <xf numFmtId="0" fontId="24" fillId="27" borderId="0" applyNumberFormat="0" applyBorder="0" applyAlignment="0" applyProtection="0"/>
  </cellStyleXfs>
  <cellXfs count="4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3" fillId="0" borderId="13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0" fillId="0" borderId="12" xfId="0" applyBorder="1"/>
    <xf numFmtId="0" fontId="21" fillId="0" borderId="14" xfId="0" applyFont="1" applyBorder="1" applyAlignment="1">
      <alignment horizontal="center" vertical="top"/>
    </xf>
    <xf numFmtId="0" fontId="2" fillId="24" borderId="16" xfId="32" applyFont="1" applyFill="1" applyBorder="1" applyAlignment="1">
      <alignment horizontal="center" vertical="top"/>
    </xf>
    <xf numFmtId="0" fontId="2" fillId="24" borderId="17" xfId="32" applyFont="1" applyFill="1" applyBorder="1" applyAlignment="1">
      <alignment horizontal="center" vertical="top"/>
    </xf>
    <xf numFmtId="0" fontId="2" fillId="24" borderId="17" xfId="32" applyFont="1" applyFill="1" applyBorder="1" applyAlignment="1">
      <alignment horizontal="center" vertical="center"/>
    </xf>
    <xf numFmtId="0" fontId="2" fillId="25" borderId="17" xfId="0" applyFont="1" applyFill="1" applyBorder="1" applyAlignment="1">
      <alignment horizontal="center" vertical="top"/>
    </xf>
    <xf numFmtId="0" fontId="2" fillId="25" borderId="18" xfId="0" applyFont="1" applyFill="1" applyBorder="1" applyAlignment="1">
      <alignment horizontal="center" vertical="top"/>
    </xf>
    <xf numFmtId="0" fontId="2" fillId="25" borderId="19" xfId="0" applyFont="1" applyFill="1" applyBorder="1" applyAlignment="1">
      <alignment horizontal="center" vertical="top"/>
    </xf>
    <xf numFmtId="0" fontId="2" fillId="24" borderId="17" xfId="32" applyFont="1" applyFill="1" applyBorder="1" applyAlignment="1">
      <alignment horizontal="center" vertical="center"/>
    </xf>
    <xf numFmtId="9" fontId="24" fillId="27" borderId="0" xfId="44" applyNumberFormat="1" applyAlignment="1">
      <alignment horizontal="center" vertical="center"/>
    </xf>
    <xf numFmtId="9" fontId="14" fillId="0" borderId="8" xfId="4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2" fillId="24" borderId="16" xfId="32" applyFont="1" applyFill="1" applyBorder="1" applyAlignment="1">
      <alignment horizontal="center" vertical="center"/>
    </xf>
    <xf numFmtId="0" fontId="2" fillId="25" borderId="17" xfId="0" applyFont="1" applyFill="1" applyBorder="1" applyAlignment="1">
      <alignment horizontal="center" vertical="center"/>
    </xf>
    <xf numFmtId="0" fontId="2" fillId="25" borderId="19" xfId="0" applyFont="1" applyFill="1" applyBorder="1" applyAlignment="1">
      <alignment horizontal="center" vertical="center"/>
    </xf>
    <xf numFmtId="0" fontId="2" fillId="25" borderId="18" xfId="0" applyFont="1" applyFill="1" applyBorder="1" applyAlignment="1">
      <alignment horizontal="center" vertical="center"/>
    </xf>
    <xf numFmtId="9" fontId="24" fillId="27" borderId="0" xfId="44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Fill="1" applyAlignment="1">
      <alignment vertical="center"/>
    </xf>
    <xf numFmtId="0" fontId="0" fillId="0" borderId="0" xfId="0" applyBorder="1" applyAlignment="1">
      <alignment vertical="center" wrapText="1"/>
    </xf>
    <xf numFmtId="9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left" vertical="center"/>
    </xf>
    <xf numFmtId="9" fontId="23" fillId="26" borderId="0" xfId="43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8" borderId="19" xfId="0" applyFont="1" applyFill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19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26" fillId="0" borderId="13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0" fillId="0" borderId="0" xfId="0" applyAlignment="1">
      <alignment horizontal="center" vertical="center"/>
    </xf>
  </cellXfs>
  <cellStyles count="45">
    <cellStyle name="20% - Akzent1" xfId="1" xr:uid="{00000000-0005-0000-0000-000000000000}"/>
    <cellStyle name="20% - Akzent2" xfId="2" xr:uid="{00000000-0005-0000-0000-000001000000}"/>
    <cellStyle name="20% - Akzent3" xfId="3" xr:uid="{00000000-0005-0000-0000-000002000000}"/>
    <cellStyle name="20% - Akzent4" xfId="4" xr:uid="{00000000-0005-0000-0000-000003000000}"/>
    <cellStyle name="20% - Akzent5" xfId="5" xr:uid="{00000000-0005-0000-0000-000004000000}"/>
    <cellStyle name="20% - Akzent6" xfId="6" xr:uid="{00000000-0005-0000-0000-000005000000}"/>
    <cellStyle name="40% - Akzent1" xfId="7" xr:uid="{00000000-0005-0000-0000-000006000000}"/>
    <cellStyle name="40% - Akzent2" xfId="8" xr:uid="{00000000-0005-0000-0000-000007000000}"/>
    <cellStyle name="40% - Akzent3" xfId="9" xr:uid="{00000000-0005-0000-0000-000008000000}"/>
    <cellStyle name="40% - Akzent4" xfId="10" xr:uid="{00000000-0005-0000-0000-000009000000}"/>
    <cellStyle name="40% - Akzent5" xfId="11" xr:uid="{00000000-0005-0000-0000-00000A000000}"/>
    <cellStyle name="40% - Akzent6" xfId="12" xr:uid="{00000000-0005-0000-0000-00000B000000}"/>
    <cellStyle name="60% - Akzent1" xfId="13" xr:uid="{00000000-0005-0000-0000-00000C000000}"/>
    <cellStyle name="60% - Akzent2" xfId="14" xr:uid="{00000000-0005-0000-0000-00000D000000}"/>
    <cellStyle name="60% - Akzent3" xfId="15" xr:uid="{00000000-0005-0000-0000-00000E000000}"/>
    <cellStyle name="60% - Akzent4" xfId="16" xr:uid="{00000000-0005-0000-0000-00000F000000}"/>
    <cellStyle name="60% - Akzent5" xfId="17" xr:uid="{00000000-0005-0000-0000-000010000000}"/>
    <cellStyle name="60% - Akzent6" xfId="18" xr:uid="{00000000-0005-0000-0000-000011000000}"/>
    <cellStyle name="Akzent1" xfId="19" xr:uid="{00000000-0005-0000-0000-000012000000}"/>
    <cellStyle name="Akzent2" xfId="20" xr:uid="{00000000-0005-0000-0000-000013000000}"/>
    <cellStyle name="Akzent3" xfId="21" xr:uid="{00000000-0005-0000-0000-000014000000}"/>
    <cellStyle name="Akzent4" xfId="22" xr:uid="{00000000-0005-0000-0000-000015000000}"/>
    <cellStyle name="Akzent5" xfId="23" xr:uid="{00000000-0005-0000-0000-000016000000}"/>
    <cellStyle name="Akzent6" xfId="24" xr:uid="{00000000-0005-0000-0000-000017000000}"/>
    <cellStyle name="Ausgabe" xfId="25" xr:uid="{00000000-0005-0000-0000-000018000000}"/>
    <cellStyle name="Bad" xfId="44" builtinId="27"/>
    <cellStyle name="Berechnung" xfId="26" xr:uid="{00000000-0005-0000-0000-00001A000000}"/>
    <cellStyle name="Eingabe" xfId="27" xr:uid="{00000000-0005-0000-0000-00001B000000}"/>
    <cellStyle name="Ergebnis" xfId="28" xr:uid="{00000000-0005-0000-0000-00001C000000}"/>
    <cellStyle name="Erklärender Text" xfId="29" xr:uid="{00000000-0005-0000-0000-00001D000000}"/>
    <cellStyle name="Good" xfId="43" builtinId="26"/>
    <cellStyle name="Gut" xfId="30" xr:uid="{00000000-0005-0000-0000-00001F000000}"/>
    <cellStyle name="Neutral 2" xfId="31" xr:uid="{00000000-0005-0000-0000-000020000000}"/>
    <cellStyle name="Normal" xfId="0" builtinId="0"/>
    <cellStyle name="Normal 2" xfId="32" xr:uid="{00000000-0005-0000-0000-000022000000}"/>
    <cellStyle name="Notiz" xfId="33" xr:uid="{00000000-0005-0000-0000-000023000000}"/>
    <cellStyle name="Schlecht" xfId="34" xr:uid="{00000000-0005-0000-0000-000024000000}"/>
    <cellStyle name="Überschrift" xfId="35" xr:uid="{00000000-0005-0000-0000-000025000000}"/>
    <cellStyle name="Überschrift 1" xfId="36" xr:uid="{00000000-0005-0000-0000-000026000000}"/>
    <cellStyle name="Überschrift 2" xfId="37" xr:uid="{00000000-0005-0000-0000-000027000000}"/>
    <cellStyle name="Überschrift 3" xfId="38" xr:uid="{00000000-0005-0000-0000-000028000000}"/>
    <cellStyle name="Überschrift 4" xfId="39" xr:uid="{00000000-0005-0000-0000-000029000000}"/>
    <cellStyle name="Verknüpfte Zelle" xfId="40" xr:uid="{00000000-0005-0000-0000-00002A000000}"/>
    <cellStyle name="Warnender Text" xfId="41" xr:uid="{00000000-0005-0000-0000-00002B000000}"/>
    <cellStyle name="Zelle überprüfen" xfId="42" xr:uid="{00000000-0005-0000-0000-00002C000000}"/>
  </cellStyles>
  <dxfs count="6">
    <dxf>
      <numFmt numFmtId="0" formatCode="General"/>
      <fill>
        <patternFill>
          <bgColor theme="9" tint="0.39994506668294322"/>
        </patternFill>
      </fill>
    </dxf>
    <dxf>
      <fill>
        <patternFill>
          <bgColor rgb="FFCCFFCC"/>
        </patternFill>
      </fill>
    </dxf>
    <dxf>
      <numFmt numFmtId="0" formatCode="General"/>
      <fill>
        <patternFill>
          <bgColor theme="9" tint="0.39994506668294322"/>
        </patternFill>
      </fill>
    </dxf>
    <dxf>
      <fill>
        <patternFill>
          <bgColor rgb="FFCCFFCC"/>
        </patternFill>
      </fill>
    </dxf>
    <dxf>
      <numFmt numFmtId="0" formatCode="General"/>
      <fill>
        <patternFill>
          <bgColor theme="9" tint="0.39994506668294322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2133600</xdr:colOff>
          <xdr:row>2</xdr:row>
          <xdr:rowOff>28575</xdr:rowOff>
        </xdr:from>
        <xdr:to>
          <xdr:col>2</xdr:col>
          <xdr:colOff>1743075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38100</xdr:rowOff>
        </xdr:from>
        <xdr:to>
          <xdr:col>2</xdr:col>
          <xdr:colOff>257175</xdr:colOff>
          <xdr:row>3</xdr:row>
          <xdr:rowOff>123825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2686050</xdr:colOff>
          <xdr:row>0</xdr:row>
          <xdr:rowOff>76200</xdr:rowOff>
        </xdr:from>
        <xdr:to>
          <xdr:col>7</xdr:col>
          <xdr:colOff>190500</xdr:colOff>
          <xdr:row>0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zoomScaleNormal="100" workbookViewId="0">
      <pane ySplit="6" topLeftCell="A7" activePane="bottomLeft" state="frozen"/>
      <selection pane="bottomLeft" activeCell="F7" sqref="F7"/>
    </sheetView>
  </sheetViews>
  <sheetFormatPr defaultRowHeight="12.75" x14ac:dyDescent="0.2"/>
  <cols>
    <col min="1" max="1" width="12.5703125" customWidth="1"/>
    <col min="2" max="2" width="23.7109375" customWidth="1"/>
    <col min="3" max="3" width="32" customWidth="1"/>
    <col min="4" max="4" width="33" customWidth="1"/>
    <col min="5" max="5" width="16.42578125" customWidth="1"/>
    <col min="6" max="6" width="52.140625" customWidth="1"/>
    <col min="7" max="7" width="55.85546875" customWidth="1"/>
    <col min="8" max="8" width="12.42578125" customWidth="1"/>
    <col min="9" max="9" width="13.7109375" customWidth="1"/>
    <col min="10" max="10" width="9.42578125" customWidth="1"/>
    <col min="11" max="11" width="15.7109375" customWidth="1"/>
    <col min="12" max="12" width="14.5703125" customWidth="1"/>
  </cols>
  <sheetData>
    <row r="1" spans="1:12" ht="13.5" customHeight="1" x14ac:dyDescent="0.2">
      <c r="A1" s="43"/>
      <c r="B1" s="43"/>
      <c r="C1" s="43"/>
      <c r="D1" s="43"/>
      <c r="E1" s="43"/>
      <c r="F1" s="43"/>
      <c r="G1" s="43"/>
      <c r="H1" s="43"/>
      <c r="I1" s="43"/>
      <c r="J1" s="43"/>
    </row>
    <row r="2" spans="1:12" x14ac:dyDescent="0.2">
      <c r="A2" s="43"/>
      <c r="B2" s="43"/>
      <c r="C2" s="43"/>
      <c r="D2" s="43"/>
      <c r="E2" s="43"/>
      <c r="F2" s="43"/>
      <c r="G2" s="43"/>
      <c r="H2" s="43"/>
      <c r="I2" s="43"/>
      <c r="J2" s="43"/>
    </row>
    <row r="3" spans="1:12" x14ac:dyDescent="0.2">
      <c r="A3" s="43"/>
      <c r="B3" s="43"/>
      <c r="C3" s="43"/>
      <c r="D3" s="43"/>
      <c r="E3" s="43"/>
      <c r="F3" s="43"/>
      <c r="G3" s="43"/>
      <c r="H3" s="43"/>
      <c r="I3" s="43"/>
      <c r="J3" s="43"/>
    </row>
    <row r="4" spans="1:12" ht="13.5" thickBot="1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</row>
    <row r="5" spans="1:12" s="1" customFormat="1" ht="18" x14ac:dyDescent="0.25">
      <c r="A5" s="3"/>
      <c r="B5" s="4"/>
      <c r="C5" s="4"/>
      <c r="D5" s="4"/>
      <c r="E5" s="5"/>
      <c r="F5" s="44" t="s">
        <v>13</v>
      </c>
      <c r="G5" s="45"/>
      <c r="H5" s="6" t="s">
        <v>4</v>
      </c>
      <c r="I5" s="7"/>
      <c r="J5" s="8" t="s">
        <v>5</v>
      </c>
      <c r="K5" s="9"/>
      <c r="L5" s="10" t="s">
        <v>6</v>
      </c>
    </row>
    <row r="6" spans="1:12" s="2" customFormat="1" ht="13.5" thickBot="1" x14ac:dyDescent="0.25">
      <c r="A6" s="11" t="s">
        <v>0</v>
      </c>
      <c r="B6" s="12" t="s">
        <v>1</v>
      </c>
      <c r="C6" s="12" t="s">
        <v>2</v>
      </c>
      <c r="D6" s="12" t="s">
        <v>3</v>
      </c>
      <c r="E6" s="13" t="s">
        <v>12</v>
      </c>
      <c r="F6" s="14" t="s">
        <v>14</v>
      </c>
      <c r="G6" s="16" t="s">
        <v>15</v>
      </c>
      <c r="H6" s="14" t="s">
        <v>7</v>
      </c>
      <c r="I6" s="14" t="s">
        <v>8</v>
      </c>
      <c r="J6" s="14" t="s">
        <v>9</v>
      </c>
      <c r="K6" s="14" t="s">
        <v>10</v>
      </c>
      <c r="L6" s="15" t="s">
        <v>11</v>
      </c>
    </row>
    <row r="7" spans="1:12" s="29" customFormat="1" ht="36" customHeight="1" x14ac:dyDescent="0.2">
      <c r="A7" s="28" t="s">
        <v>96</v>
      </c>
      <c r="B7" s="28" t="s">
        <v>97</v>
      </c>
      <c r="C7" s="28" t="s">
        <v>98</v>
      </c>
      <c r="D7" s="32" t="s">
        <v>101</v>
      </c>
      <c r="E7" s="26">
        <v>0</v>
      </c>
      <c r="F7" s="27" t="s">
        <v>99</v>
      </c>
      <c r="G7" s="27" t="s">
        <v>100</v>
      </c>
      <c r="H7" s="31"/>
      <c r="I7" s="31"/>
      <c r="J7" s="31"/>
      <c r="K7" s="31"/>
      <c r="L7" s="31"/>
    </row>
    <row r="8" spans="1:12" s="29" customFormat="1" ht="36" customHeight="1" x14ac:dyDescent="0.2">
      <c r="A8" s="28" t="s">
        <v>96</v>
      </c>
      <c r="B8" s="28" t="s">
        <v>97</v>
      </c>
      <c r="C8" s="27" t="s">
        <v>239</v>
      </c>
      <c r="D8" s="31" t="s">
        <v>240</v>
      </c>
      <c r="E8" s="26">
        <v>0</v>
      </c>
      <c r="F8" s="27" t="s">
        <v>239</v>
      </c>
      <c r="G8" s="27" t="s">
        <v>241</v>
      </c>
      <c r="H8" s="31"/>
      <c r="I8" s="31"/>
      <c r="J8" s="31"/>
      <c r="K8" s="31"/>
      <c r="L8" s="31"/>
    </row>
    <row r="9" spans="1:12" s="1" customFormat="1" x14ac:dyDescent="0.2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 x14ac:dyDescent="0.2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 x14ac:dyDescent="0.2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 x14ac:dyDescent="0.2">
      <c r="A12"/>
      <c r="B12"/>
      <c r="C12"/>
      <c r="D12"/>
      <c r="E12"/>
      <c r="F12"/>
      <c r="G12"/>
      <c r="H12"/>
      <c r="I12"/>
      <c r="J12"/>
      <c r="K12"/>
      <c r="L12"/>
    </row>
    <row r="13" spans="1:12" s="1" customFormat="1" x14ac:dyDescent="0.2">
      <c r="A13"/>
      <c r="B13"/>
      <c r="C13"/>
      <c r="D13"/>
      <c r="E13"/>
      <c r="F13"/>
      <c r="G13"/>
      <c r="H13"/>
      <c r="I13"/>
      <c r="J13"/>
      <c r="K13"/>
      <c r="L13"/>
    </row>
    <row r="14" spans="1:12" s="1" customFormat="1" x14ac:dyDescent="0.2">
      <c r="A14"/>
      <c r="B14"/>
      <c r="C14"/>
      <c r="D14"/>
      <c r="E14"/>
      <c r="F14"/>
      <c r="G14"/>
      <c r="H14"/>
      <c r="I14"/>
      <c r="J14"/>
      <c r="K14"/>
      <c r="L14"/>
    </row>
    <row r="15" spans="1:12" s="1" customFormat="1" x14ac:dyDescent="0.2">
      <c r="A15"/>
      <c r="B15"/>
      <c r="C15"/>
      <c r="D15"/>
      <c r="E15"/>
      <c r="F15"/>
      <c r="G15"/>
      <c r="H15"/>
      <c r="I15"/>
      <c r="J15"/>
      <c r="K15"/>
      <c r="L15"/>
    </row>
    <row r="16" spans="1:12" s="1" customFormat="1" x14ac:dyDescent="0.2">
      <c r="A16"/>
      <c r="B16"/>
      <c r="C16"/>
      <c r="D16"/>
      <c r="E16"/>
      <c r="F16"/>
      <c r="G16"/>
      <c r="H16"/>
      <c r="I16"/>
      <c r="J16"/>
      <c r="K16"/>
      <c r="L16"/>
    </row>
    <row r="17" spans="1:12" s="1" customFormat="1" x14ac:dyDescent="0.2">
      <c r="A17"/>
      <c r="B17"/>
      <c r="C17"/>
      <c r="D17"/>
      <c r="E17"/>
      <c r="F17"/>
      <c r="G17"/>
      <c r="H17"/>
      <c r="I17"/>
      <c r="J17"/>
      <c r="K17"/>
      <c r="L17"/>
    </row>
    <row r="18" spans="1:12" s="1" customFormat="1" x14ac:dyDescent="0.2">
      <c r="A18"/>
      <c r="B18"/>
      <c r="C18"/>
      <c r="D18"/>
      <c r="E18"/>
      <c r="F18"/>
      <c r="G18"/>
      <c r="H18"/>
      <c r="I18"/>
      <c r="J18"/>
      <c r="K18"/>
      <c r="L18"/>
    </row>
    <row r="19" spans="1:12" s="1" customFormat="1" x14ac:dyDescent="0.2">
      <c r="A19"/>
      <c r="B19"/>
      <c r="C19"/>
      <c r="D19"/>
      <c r="E19"/>
      <c r="F19"/>
      <c r="G19"/>
      <c r="H19"/>
      <c r="I19"/>
      <c r="J19"/>
      <c r="K19"/>
      <c r="L19"/>
    </row>
    <row r="20" spans="1:12" s="1" customFormat="1" x14ac:dyDescent="0.2">
      <c r="A20"/>
      <c r="B20"/>
      <c r="C20"/>
      <c r="D20"/>
      <c r="E20"/>
      <c r="F20"/>
      <c r="G20"/>
      <c r="H20"/>
      <c r="I20"/>
      <c r="J20"/>
      <c r="K20"/>
      <c r="L20"/>
    </row>
    <row r="21" spans="1:12" s="1" customFormat="1" x14ac:dyDescent="0.2">
      <c r="A21"/>
      <c r="B21"/>
      <c r="C21"/>
      <c r="D21"/>
      <c r="E21"/>
      <c r="F21"/>
      <c r="G21"/>
      <c r="H21"/>
      <c r="I21"/>
      <c r="J21"/>
      <c r="K21"/>
      <c r="L21"/>
    </row>
    <row r="22" spans="1:12" s="1" customFormat="1" x14ac:dyDescent="0.2">
      <c r="A22"/>
      <c r="B22"/>
      <c r="C22"/>
      <c r="D22"/>
      <c r="E22"/>
      <c r="F22"/>
      <c r="G22"/>
      <c r="H22"/>
      <c r="I22"/>
      <c r="J22"/>
      <c r="K22"/>
      <c r="L22"/>
    </row>
    <row r="23" spans="1:12" s="1" customFormat="1" x14ac:dyDescent="0.2">
      <c r="A23"/>
      <c r="B23"/>
      <c r="C23"/>
      <c r="D23"/>
      <c r="E23"/>
      <c r="F23"/>
      <c r="G23"/>
      <c r="H23"/>
      <c r="I23"/>
      <c r="J23"/>
      <c r="K23"/>
      <c r="L23"/>
    </row>
    <row r="24" spans="1:12" s="1" customFormat="1" x14ac:dyDescent="0.2">
      <c r="A24"/>
      <c r="B24"/>
      <c r="C24"/>
      <c r="D24"/>
      <c r="E24"/>
      <c r="F24"/>
      <c r="G24"/>
      <c r="H24"/>
      <c r="I24"/>
      <c r="J24"/>
      <c r="K24"/>
      <c r="L24"/>
    </row>
    <row r="25" spans="1:12" s="1" customFormat="1" x14ac:dyDescent="0.2">
      <c r="A25"/>
      <c r="B25"/>
      <c r="C25"/>
      <c r="D25"/>
      <c r="E25"/>
      <c r="F25"/>
      <c r="G25"/>
      <c r="H25"/>
      <c r="I25"/>
      <c r="J25"/>
      <c r="K25"/>
      <c r="L25"/>
    </row>
  </sheetData>
  <autoFilter ref="A6:L6" xr:uid="{00000000-0009-0000-0000-000000000000}"/>
  <mergeCells count="3">
    <mergeCell ref="A1:J2"/>
    <mergeCell ref="A3:J4"/>
    <mergeCell ref="F5:G5"/>
  </mergeCells>
  <conditionalFormatting sqref="E1:E4 E101:E1048576">
    <cfRule type="colorScale" priority="2">
      <colorScale>
        <cfvo type="percent" val="0"/>
        <cfvo type="percent" val="50"/>
        <cfvo type="percent" val="100"/>
        <color rgb="FFF8696B"/>
        <color rgb="FFFFEB84"/>
        <color rgb="FF63BE7B"/>
      </colorScale>
    </cfRule>
  </conditionalFormatting>
  <conditionalFormatting sqref="E5:E6">
    <cfRule type="colorScale" priority="1">
      <colorScale>
        <cfvo type="percent" val="0"/>
        <cfvo type="percent" val="0.5"/>
        <cfvo type="percent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E5:E8" xr:uid="{00000000-0002-0000-0000-000000000000}">
      <formula1>"0%,50%,100%"</formula1>
    </dataValidation>
  </dataValidations>
  <pageMargins left="0.7" right="0.7" top="0.75" bottom="0.75" header="0.3" footer="0.3"/>
  <pageSetup orientation="portrait" horizontalDpi="300" verticalDpi="90" r:id="rId1"/>
  <drawing r:id="rId2"/>
  <legacyDrawing r:id="rId3"/>
  <controls>
    <mc:AlternateContent xmlns:mc="http://schemas.openxmlformats.org/markup-compatibility/2006">
      <mc:Choice Requires="x14">
        <control shapeId="1026" r:id="rId4" name="TextBox1">
          <controlPr defaultSize="0" autoLine="0" autoPict="0" r:id="rId5">
            <anchor moveWithCells="1">
              <from>
                <xdr:col>1</xdr:col>
                <xdr:colOff>28575</xdr:colOff>
                <xdr:row>2</xdr:row>
                <xdr:rowOff>38100</xdr:rowOff>
              </from>
              <to>
                <xdr:col>2</xdr:col>
                <xdr:colOff>257175</xdr:colOff>
                <xdr:row>3</xdr:row>
                <xdr:rowOff>123825</xdr:rowOff>
              </to>
            </anchor>
          </controlPr>
        </control>
      </mc:Choice>
      <mc:Fallback>
        <control shapeId="1026" r:id="rId4" name="Tex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earch_Click">
            <anchor moveWithCells="1" sizeWithCells="1">
              <from>
                <xdr:col>1</xdr:col>
                <xdr:colOff>2133600</xdr:colOff>
                <xdr:row>2</xdr:row>
                <xdr:rowOff>28575</xdr:rowOff>
              </from>
              <to>
                <xdr:col>2</xdr:col>
                <xdr:colOff>1743075</xdr:colOff>
                <xdr:row>3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5"/>
  <sheetViews>
    <sheetView tabSelected="1" topLeftCell="B1" workbookViewId="0">
      <pane ySplit="2" topLeftCell="A3" activePane="bottomLeft" state="frozen"/>
      <selection pane="bottomLeft" activeCell="F9" sqref="F9"/>
    </sheetView>
  </sheetViews>
  <sheetFormatPr defaultRowHeight="12.75" x14ac:dyDescent="0.2"/>
  <cols>
    <col min="1" max="1" width="10.7109375" style="28" customWidth="1"/>
    <col min="2" max="2" width="59.28515625" style="28" customWidth="1"/>
    <col min="3" max="3" width="18.85546875" style="28" customWidth="1"/>
    <col min="4" max="4" width="27" style="28" customWidth="1"/>
    <col min="5" max="5" width="12.85546875" style="20" customWidth="1"/>
    <col min="6" max="6" width="48.140625" style="20" customWidth="1"/>
    <col min="7" max="7" width="48.42578125" style="20" customWidth="1"/>
    <col min="8" max="8" width="14.7109375" style="28" customWidth="1"/>
    <col min="9" max="16384" width="9.140625" style="28"/>
  </cols>
  <sheetData>
    <row r="1" spans="1:13" ht="33.75" customHeight="1" x14ac:dyDescent="0.2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3" s="20" customFormat="1" ht="13.5" thickBot="1" x14ac:dyDescent="0.25">
      <c r="A2" s="22" t="s">
        <v>0</v>
      </c>
      <c r="B2" s="17" t="s">
        <v>1</v>
      </c>
      <c r="C2" s="17" t="s">
        <v>2</v>
      </c>
      <c r="D2" s="17" t="s">
        <v>3</v>
      </c>
      <c r="E2" s="17" t="s">
        <v>12</v>
      </c>
      <c r="F2" s="23" t="s">
        <v>14</v>
      </c>
      <c r="G2" s="24" t="s">
        <v>15</v>
      </c>
      <c r="H2" s="23" t="s">
        <v>7</v>
      </c>
      <c r="I2" s="23" t="s">
        <v>8</v>
      </c>
      <c r="J2" s="23" t="s">
        <v>9</v>
      </c>
      <c r="K2" s="23" t="s">
        <v>10</v>
      </c>
      <c r="L2" s="25" t="s">
        <v>11</v>
      </c>
      <c r="M2" s="39"/>
    </row>
    <row r="3" spans="1:13" s="29" customFormat="1" ht="35.25" customHeight="1" x14ac:dyDescent="0.2">
      <c r="A3" s="30"/>
      <c r="B3" s="30"/>
      <c r="C3" s="30"/>
      <c r="D3" s="31"/>
      <c r="E3" s="38"/>
      <c r="F3" s="31"/>
      <c r="G3" s="31"/>
      <c r="H3" s="31"/>
      <c r="I3" s="31"/>
      <c r="J3" s="31"/>
      <c r="K3" s="31"/>
      <c r="L3" s="37"/>
    </row>
    <row r="4" spans="1:13" s="29" customFormat="1" ht="36" customHeight="1" x14ac:dyDescent="0.2">
      <c r="A4" s="28" t="s">
        <v>31</v>
      </c>
      <c r="B4" s="28" t="s">
        <v>32</v>
      </c>
      <c r="C4" s="30" t="s">
        <v>33</v>
      </c>
      <c r="D4" s="31" t="s">
        <v>34</v>
      </c>
      <c r="E4" s="38">
        <v>1</v>
      </c>
      <c r="F4" s="32" t="s">
        <v>35</v>
      </c>
      <c r="G4" s="31" t="s">
        <v>36</v>
      </c>
      <c r="H4" s="31"/>
      <c r="I4" s="31"/>
      <c r="J4" s="31"/>
      <c r="K4" s="31"/>
      <c r="L4" s="31"/>
    </row>
    <row r="5" spans="1:13" s="29" customFormat="1" ht="36" customHeight="1" x14ac:dyDescent="0.2">
      <c r="A5" s="28" t="s">
        <v>31</v>
      </c>
      <c r="B5" s="28" t="s">
        <v>32</v>
      </c>
      <c r="C5" s="30" t="s">
        <v>37</v>
      </c>
      <c r="D5" s="31" t="s">
        <v>38</v>
      </c>
      <c r="E5" s="38">
        <v>1</v>
      </c>
      <c r="F5" s="32" t="s">
        <v>37</v>
      </c>
      <c r="G5" s="31" t="s">
        <v>39</v>
      </c>
      <c r="H5" s="31"/>
      <c r="I5" s="31"/>
      <c r="J5" s="31"/>
      <c r="K5" s="31"/>
      <c r="L5" s="31"/>
    </row>
    <row r="6" spans="1:13" s="29" customFormat="1" ht="36" customHeight="1" x14ac:dyDescent="0.2">
      <c r="A6" s="28" t="s">
        <v>40</v>
      </c>
      <c r="B6" s="28" t="s">
        <v>41</v>
      </c>
      <c r="C6" s="30" t="s">
        <v>42</v>
      </c>
      <c r="D6" s="31" t="s">
        <v>27</v>
      </c>
      <c r="E6" s="38">
        <v>1</v>
      </c>
      <c r="F6" s="30" t="s">
        <v>42</v>
      </c>
      <c r="G6" s="31" t="s">
        <v>43</v>
      </c>
      <c r="H6" s="31"/>
      <c r="I6" s="31"/>
      <c r="J6" s="31"/>
      <c r="K6" s="31"/>
      <c r="L6" s="31"/>
    </row>
    <row r="7" spans="1:13" s="29" customFormat="1" ht="36" customHeight="1" thickBot="1" x14ac:dyDescent="0.25">
      <c r="A7" s="33" t="s">
        <v>45</v>
      </c>
      <c r="B7" s="28" t="s">
        <v>46</v>
      </c>
      <c r="C7" s="28" t="s">
        <v>44</v>
      </c>
      <c r="D7" s="31" t="s">
        <v>27</v>
      </c>
      <c r="E7" s="19">
        <v>0.5</v>
      </c>
      <c r="F7" s="34" t="s">
        <v>47</v>
      </c>
      <c r="G7" s="31" t="s">
        <v>48</v>
      </c>
      <c r="H7" s="31"/>
      <c r="I7" s="31"/>
      <c r="J7" s="31"/>
      <c r="K7" s="31"/>
      <c r="L7" s="31"/>
    </row>
    <row r="8" spans="1:13" s="29" customFormat="1" ht="36" customHeight="1" thickTop="1" x14ac:dyDescent="0.2">
      <c r="A8" s="28" t="s">
        <v>49</v>
      </c>
      <c r="B8" s="28" t="s">
        <v>50</v>
      </c>
      <c r="C8" s="28" t="s">
        <v>51</v>
      </c>
      <c r="D8" s="31" t="s">
        <v>27</v>
      </c>
      <c r="E8" s="38">
        <v>1</v>
      </c>
      <c r="F8" s="34" t="s">
        <v>51</v>
      </c>
      <c r="G8" s="31" t="s">
        <v>52</v>
      </c>
      <c r="H8" s="31"/>
      <c r="I8" s="31"/>
      <c r="J8" s="31"/>
      <c r="K8" s="31"/>
      <c r="L8" s="31"/>
    </row>
    <row r="9" spans="1:13" s="29" customFormat="1" ht="36" customHeight="1" x14ac:dyDescent="0.2">
      <c r="A9" s="28" t="s">
        <v>53</v>
      </c>
      <c r="B9" s="28" t="s">
        <v>54</v>
      </c>
      <c r="C9" s="28" t="s">
        <v>55</v>
      </c>
      <c r="D9" s="31" t="s">
        <v>27</v>
      </c>
      <c r="E9" s="38">
        <v>1</v>
      </c>
      <c r="F9" s="34" t="s">
        <v>56</v>
      </c>
      <c r="G9" s="31" t="s">
        <v>57</v>
      </c>
      <c r="H9" s="31"/>
      <c r="I9" s="31"/>
      <c r="J9" s="31"/>
      <c r="K9" s="31"/>
      <c r="L9" s="31"/>
    </row>
    <row r="10" spans="1:13" s="29" customFormat="1" ht="36" customHeight="1" x14ac:dyDescent="0.2">
      <c r="A10" s="36" t="s">
        <v>16</v>
      </c>
      <c r="B10" s="29" t="s">
        <v>17</v>
      </c>
      <c r="C10" s="29" t="s">
        <v>18</v>
      </c>
      <c r="D10" s="29" t="s">
        <v>24</v>
      </c>
      <c r="E10" s="18">
        <v>0</v>
      </c>
      <c r="F10" s="35"/>
      <c r="G10" s="35"/>
      <c r="H10" s="29" t="s">
        <v>19</v>
      </c>
      <c r="I10" s="29" t="s">
        <v>20</v>
      </c>
      <c r="J10" s="29" t="s">
        <v>21</v>
      </c>
      <c r="K10" s="29" t="s">
        <v>22</v>
      </c>
      <c r="L10" s="31" t="s">
        <v>23</v>
      </c>
    </row>
    <row r="11" spans="1:13" s="29" customFormat="1" ht="36" customHeight="1" x14ac:dyDescent="0.2">
      <c r="A11" s="28" t="s">
        <v>58</v>
      </c>
      <c r="B11" s="28" t="s">
        <v>59</v>
      </c>
      <c r="C11" s="28" t="s">
        <v>60</v>
      </c>
      <c r="D11" s="31" t="s">
        <v>27</v>
      </c>
      <c r="E11" s="38">
        <v>1</v>
      </c>
      <c r="F11" s="34" t="s">
        <v>60</v>
      </c>
      <c r="G11" s="31" t="s">
        <v>61</v>
      </c>
      <c r="H11" s="31"/>
      <c r="I11" s="31"/>
      <c r="J11" s="31"/>
      <c r="K11" s="31"/>
      <c r="L11" s="31"/>
    </row>
    <row r="12" spans="1:13" s="29" customFormat="1" ht="36" customHeight="1" x14ac:dyDescent="0.2">
      <c r="A12" s="28" t="s">
        <v>62</v>
      </c>
      <c r="B12" s="28" t="s">
        <v>63</v>
      </c>
      <c r="C12" s="28" t="s">
        <v>64</v>
      </c>
      <c r="D12" s="31" t="s">
        <v>27</v>
      </c>
      <c r="E12" s="38">
        <v>1</v>
      </c>
      <c r="F12" s="34" t="s">
        <v>64</v>
      </c>
      <c r="G12" s="31" t="s">
        <v>65</v>
      </c>
      <c r="H12" s="31"/>
      <c r="I12" s="31"/>
      <c r="J12" s="31"/>
      <c r="K12" s="31"/>
      <c r="L12" s="31"/>
    </row>
    <row r="13" spans="1:13" s="29" customFormat="1" ht="36" customHeight="1" x14ac:dyDescent="0.2">
      <c r="A13" s="33" t="s">
        <v>66</v>
      </c>
      <c r="B13" s="28" t="s">
        <v>67</v>
      </c>
      <c r="C13" s="28" t="s">
        <v>60</v>
      </c>
      <c r="D13" s="31" t="s">
        <v>27</v>
      </c>
      <c r="E13" s="38">
        <v>1</v>
      </c>
      <c r="F13" s="34" t="s">
        <v>60</v>
      </c>
      <c r="G13" s="31" t="s">
        <v>68</v>
      </c>
      <c r="H13" s="31"/>
      <c r="I13" s="31"/>
      <c r="J13" s="31"/>
      <c r="K13" s="31"/>
      <c r="L13" s="31"/>
    </row>
    <row r="14" spans="1:13" s="29" customFormat="1" ht="36" customHeight="1" x14ac:dyDescent="0.2">
      <c r="A14" s="28" t="s">
        <v>69</v>
      </c>
      <c r="B14" s="28" t="s">
        <v>70</v>
      </c>
      <c r="C14" s="28" t="s">
        <v>71</v>
      </c>
      <c r="D14" s="31" t="s">
        <v>27</v>
      </c>
      <c r="E14" s="38">
        <v>1</v>
      </c>
      <c r="F14" s="28" t="s">
        <v>71</v>
      </c>
      <c r="G14" s="31" t="s">
        <v>72</v>
      </c>
      <c r="H14" s="31"/>
      <c r="I14" s="31"/>
      <c r="J14" s="31"/>
      <c r="K14" s="31"/>
      <c r="L14" s="31"/>
    </row>
    <row r="15" spans="1:13" s="29" customFormat="1" ht="36" customHeight="1" x14ac:dyDescent="0.2">
      <c r="A15" s="28" t="s">
        <v>73</v>
      </c>
      <c r="B15" s="28" t="s">
        <v>74</v>
      </c>
      <c r="C15" s="28" t="s">
        <v>75</v>
      </c>
      <c r="D15" s="31" t="s">
        <v>27</v>
      </c>
      <c r="E15" s="38">
        <v>1</v>
      </c>
      <c r="F15" s="28" t="s">
        <v>75</v>
      </c>
      <c r="G15" s="31" t="s">
        <v>77</v>
      </c>
      <c r="H15" s="31"/>
      <c r="I15" s="31"/>
      <c r="J15" s="31"/>
      <c r="K15" s="31"/>
      <c r="L15" s="31"/>
    </row>
    <row r="16" spans="1:13" s="29" customFormat="1" ht="36" customHeight="1" x14ac:dyDescent="0.2">
      <c r="A16" s="28" t="s">
        <v>78</v>
      </c>
      <c r="B16" s="28" t="s">
        <v>79</v>
      </c>
      <c r="C16" s="28" t="s">
        <v>80</v>
      </c>
      <c r="D16" s="31" t="s">
        <v>27</v>
      </c>
      <c r="E16" s="38">
        <v>1</v>
      </c>
      <c r="F16" s="28" t="s">
        <v>80</v>
      </c>
      <c r="G16" s="28" t="s">
        <v>81</v>
      </c>
      <c r="H16" s="31"/>
      <c r="I16" s="31"/>
      <c r="J16" s="31"/>
      <c r="K16" s="31"/>
      <c r="L16" s="31"/>
    </row>
    <row r="17" spans="1:12" s="29" customFormat="1" ht="36" customHeight="1" x14ac:dyDescent="0.2">
      <c r="A17" s="28" t="s">
        <v>82</v>
      </c>
      <c r="B17" s="28" t="s">
        <v>83</v>
      </c>
      <c r="C17" s="28" t="s">
        <v>84</v>
      </c>
      <c r="D17" s="31" t="s">
        <v>27</v>
      </c>
      <c r="E17" s="38">
        <v>1</v>
      </c>
      <c r="F17" s="28" t="s">
        <v>84</v>
      </c>
      <c r="G17" s="28" t="s">
        <v>85</v>
      </c>
      <c r="H17" s="31"/>
      <c r="I17" s="31"/>
      <c r="J17" s="31"/>
      <c r="K17" s="31"/>
      <c r="L17" s="31"/>
    </row>
    <row r="18" spans="1:12" s="29" customFormat="1" ht="36" customHeight="1" x14ac:dyDescent="0.2">
      <c r="A18" s="28" t="s">
        <v>86</v>
      </c>
      <c r="B18" s="28" t="s">
        <v>87</v>
      </c>
      <c r="C18" s="28" t="s">
        <v>88</v>
      </c>
      <c r="D18" s="31" t="s">
        <v>38</v>
      </c>
      <c r="E18" s="38">
        <v>1</v>
      </c>
      <c r="F18" s="28" t="s">
        <v>90</v>
      </c>
      <c r="G18" s="28" t="s">
        <v>89</v>
      </c>
      <c r="H18" s="31"/>
      <c r="I18" s="31"/>
      <c r="J18" s="31"/>
      <c r="K18" s="31"/>
      <c r="L18" s="31"/>
    </row>
    <row r="19" spans="1:12" s="29" customFormat="1" ht="36" customHeight="1" x14ac:dyDescent="0.2">
      <c r="A19" s="28" t="s">
        <v>91</v>
      </c>
      <c r="B19" s="28" t="s">
        <v>92</v>
      </c>
      <c r="C19" s="28" t="s">
        <v>93</v>
      </c>
      <c r="D19" s="31" t="s">
        <v>94</v>
      </c>
      <c r="E19" s="38">
        <v>1</v>
      </c>
      <c r="F19" s="28" t="s">
        <v>93</v>
      </c>
      <c r="G19" s="28" t="s">
        <v>95</v>
      </c>
      <c r="H19" s="31"/>
      <c r="I19" s="31"/>
      <c r="J19" s="31"/>
      <c r="K19" s="31"/>
      <c r="L19" s="31"/>
    </row>
    <row r="20" spans="1:12" s="29" customFormat="1" ht="36" customHeight="1" x14ac:dyDescent="0.2">
      <c r="A20" s="28" t="s">
        <v>96</v>
      </c>
      <c r="B20" s="28" t="s">
        <v>97</v>
      </c>
      <c r="C20" s="28" t="s">
        <v>98</v>
      </c>
      <c r="D20" s="32" t="s">
        <v>101</v>
      </c>
      <c r="E20" s="26">
        <v>0</v>
      </c>
      <c r="F20" s="27" t="s">
        <v>99</v>
      </c>
      <c r="G20" s="27" t="s">
        <v>100</v>
      </c>
      <c r="H20" s="31"/>
      <c r="I20" s="31"/>
      <c r="J20" s="31"/>
      <c r="K20" s="31"/>
      <c r="L20" s="31"/>
    </row>
    <row r="21" spans="1:12" s="29" customFormat="1" ht="36" customHeight="1" x14ac:dyDescent="0.2">
      <c r="A21" s="21" t="s">
        <v>102</v>
      </c>
      <c r="B21" s="28" t="s">
        <v>103</v>
      </c>
      <c r="C21" s="28" t="s">
        <v>104</v>
      </c>
      <c r="D21" s="32" t="s">
        <v>105</v>
      </c>
      <c r="E21" s="26">
        <v>0</v>
      </c>
      <c r="F21" s="28" t="s">
        <v>104</v>
      </c>
      <c r="G21" s="27" t="s">
        <v>106</v>
      </c>
      <c r="H21" s="31"/>
      <c r="I21" s="31"/>
      <c r="J21" s="31"/>
      <c r="K21" s="31"/>
      <c r="L21" s="31"/>
    </row>
    <row r="22" spans="1:12" s="29" customFormat="1" ht="36" customHeight="1" x14ac:dyDescent="0.2">
      <c r="A22" s="28" t="s">
        <v>107</v>
      </c>
      <c r="B22" s="28" t="s">
        <v>108</v>
      </c>
      <c r="C22" s="28" t="s">
        <v>109</v>
      </c>
      <c r="D22" s="31" t="s">
        <v>112</v>
      </c>
      <c r="E22" s="38">
        <v>1</v>
      </c>
      <c r="F22" s="27" t="s">
        <v>110</v>
      </c>
      <c r="G22" s="27" t="s">
        <v>111</v>
      </c>
      <c r="H22" s="31"/>
      <c r="I22" s="31"/>
      <c r="J22" s="31"/>
      <c r="K22" s="31"/>
      <c r="L22" s="31"/>
    </row>
    <row r="23" spans="1:12" s="29" customFormat="1" ht="36" customHeight="1" x14ac:dyDescent="0.2">
      <c r="A23" s="28" t="s">
        <v>113</v>
      </c>
      <c r="B23" s="28" t="s">
        <v>114</v>
      </c>
      <c r="C23" s="28" t="s">
        <v>115</v>
      </c>
      <c r="D23" s="32" t="s">
        <v>38</v>
      </c>
      <c r="E23" s="38">
        <v>1</v>
      </c>
      <c r="F23" s="27" t="s">
        <v>116</v>
      </c>
      <c r="G23" s="27" t="s">
        <v>118</v>
      </c>
      <c r="H23" s="31"/>
      <c r="I23" s="31"/>
      <c r="J23" s="31"/>
      <c r="K23" s="31"/>
      <c r="L23" s="31"/>
    </row>
    <row r="24" spans="1:12" s="29" customFormat="1" ht="36" customHeight="1" x14ac:dyDescent="0.2">
      <c r="A24" s="28" t="s">
        <v>119</v>
      </c>
      <c r="B24" s="28" t="s">
        <v>120</v>
      </c>
      <c r="C24" s="28" t="s">
        <v>121</v>
      </c>
      <c r="D24" s="32" t="s">
        <v>38</v>
      </c>
      <c r="E24" s="38">
        <v>1</v>
      </c>
      <c r="F24" s="27" t="s">
        <v>121</v>
      </c>
      <c r="G24" s="27" t="s">
        <v>122</v>
      </c>
      <c r="H24" s="31"/>
      <c r="I24" s="31"/>
      <c r="J24" s="31"/>
      <c r="K24" s="31"/>
      <c r="L24" s="31"/>
    </row>
    <row r="25" spans="1:12" s="29" customFormat="1" ht="36" customHeight="1" x14ac:dyDescent="0.2">
      <c r="A25" s="28" t="s">
        <v>123</v>
      </c>
      <c r="B25" s="28" t="s">
        <v>124</v>
      </c>
      <c r="C25" s="28" t="s">
        <v>125</v>
      </c>
      <c r="D25" s="32" t="s">
        <v>27</v>
      </c>
      <c r="E25" s="38">
        <v>1</v>
      </c>
      <c r="F25" s="28" t="s">
        <v>125</v>
      </c>
      <c r="G25" s="28" t="s">
        <v>126</v>
      </c>
      <c r="H25" s="31"/>
      <c r="I25" s="31"/>
      <c r="J25" s="31"/>
      <c r="K25" s="31"/>
      <c r="L25" s="31"/>
    </row>
    <row r="26" spans="1:12" s="29" customFormat="1" ht="36" customHeight="1" x14ac:dyDescent="0.2">
      <c r="A26" s="28" t="s">
        <v>127</v>
      </c>
      <c r="B26" s="28" t="s">
        <v>128</v>
      </c>
      <c r="C26" s="28" t="s">
        <v>129</v>
      </c>
      <c r="D26" s="32" t="s">
        <v>130</v>
      </c>
      <c r="E26" s="26">
        <v>0</v>
      </c>
      <c r="F26" s="28" t="s">
        <v>132</v>
      </c>
      <c r="G26" s="28" t="s">
        <v>131</v>
      </c>
      <c r="H26" s="31"/>
      <c r="I26" s="31"/>
      <c r="J26" s="31"/>
      <c r="K26" s="31"/>
      <c r="L26" s="31"/>
    </row>
    <row r="27" spans="1:12" s="29" customFormat="1" ht="36" customHeight="1" x14ac:dyDescent="0.2">
      <c r="A27" s="28" t="s">
        <v>133</v>
      </c>
      <c r="B27" s="28" t="s">
        <v>134</v>
      </c>
      <c r="C27" s="28" t="s">
        <v>60</v>
      </c>
      <c r="D27" s="32" t="s">
        <v>27</v>
      </c>
      <c r="E27" s="38">
        <v>1</v>
      </c>
      <c r="F27" s="28" t="s">
        <v>60</v>
      </c>
      <c r="G27" s="28" t="s">
        <v>135</v>
      </c>
      <c r="H27" s="31"/>
      <c r="I27" s="31"/>
      <c r="J27" s="31"/>
      <c r="K27" s="31"/>
      <c r="L27" s="31"/>
    </row>
    <row r="28" spans="1:12" s="29" customFormat="1" ht="36" customHeight="1" x14ac:dyDescent="0.2">
      <c r="A28" s="28" t="s">
        <v>136</v>
      </c>
      <c r="B28" s="28" t="s">
        <v>137</v>
      </c>
      <c r="C28" s="28" t="s">
        <v>129</v>
      </c>
      <c r="D28" s="32" t="s">
        <v>130</v>
      </c>
      <c r="E28" s="26">
        <v>0</v>
      </c>
      <c r="F28" s="28" t="s">
        <v>132</v>
      </c>
      <c r="G28" s="28" t="s">
        <v>131</v>
      </c>
      <c r="H28" s="31"/>
      <c r="I28" s="31"/>
      <c r="J28" s="31"/>
      <c r="K28" s="31"/>
      <c r="L28" s="31"/>
    </row>
    <row r="29" spans="1:12" s="29" customFormat="1" ht="36" customHeight="1" x14ac:dyDescent="0.2">
      <c r="A29" s="28" t="s">
        <v>138</v>
      </c>
      <c r="B29" s="28" t="s">
        <v>139</v>
      </c>
      <c r="C29" s="28" t="s">
        <v>140</v>
      </c>
      <c r="D29" s="32" t="s">
        <v>38</v>
      </c>
      <c r="E29" s="38">
        <v>1</v>
      </c>
      <c r="F29" s="28" t="s">
        <v>140</v>
      </c>
      <c r="G29" s="28" t="s">
        <v>141</v>
      </c>
      <c r="H29" s="31"/>
      <c r="I29" s="31"/>
      <c r="J29" s="31"/>
      <c r="K29" s="31"/>
      <c r="L29" s="31"/>
    </row>
    <row r="30" spans="1:12" s="29" customFormat="1" ht="36" customHeight="1" x14ac:dyDescent="0.2">
      <c r="A30" s="28" t="s">
        <v>142</v>
      </c>
      <c r="B30" s="28" t="s">
        <v>143</v>
      </c>
      <c r="C30" s="28" t="s">
        <v>115</v>
      </c>
      <c r="D30" s="32" t="s">
        <v>27</v>
      </c>
      <c r="E30" s="38">
        <v>1</v>
      </c>
      <c r="F30" s="28" t="s">
        <v>115</v>
      </c>
      <c r="G30" s="28" t="s">
        <v>117</v>
      </c>
      <c r="H30" s="31"/>
      <c r="I30" s="31"/>
      <c r="J30" s="31"/>
      <c r="K30" s="31"/>
      <c r="L30" s="31"/>
    </row>
    <row r="31" spans="1:12" s="29" customFormat="1" ht="36" customHeight="1" x14ac:dyDescent="0.2">
      <c r="A31" s="28" t="s">
        <v>144</v>
      </c>
      <c r="B31" s="28" t="s">
        <v>145</v>
      </c>
      <c r="C31" s="28" t="s">
        <v>75</v>
      </c>
      <c r="D31" s="32" t="s">
        <v>27</v>
      </c>
      <c r="E31" s="38">
        <v>1</v>
      </c>
      <c r="F31" s="28" t="s">
        <v>75</v>
      </c>
      <c r="G31" s="28" t="s">
        <v>76</v>
      </c>
      <c r="H31" s="31"/>
      <c r="I31" s="31"/>
      <c r="J31" s="31"/>
      <c r="K31" s="31"/>
      <c r="L31" s="31"/>
    </row>
    <row r="32" spans="1:12" s="29" customFormat="1" ht="36" customHeight="1" x14ac:dyDescent="0.2">
      <c r="A32" s="28" t="s">
        <v>146</v>
      </c>
      <c r="B32" s="28" t="s">
        <v>147</v>
      </c>
      <c r="C32" s="28" t="s">
        <v>148</v>
      </c>
      <c r="D32" s="31" t="s">
        <v>94</v>
      </c>
      <c r="E32" s="38">
        <v>1</v>
      </c>
      <c r="F32" s="28" t="s">
        <v>148</v>
      </c>
      <c r="G32" s="28" t="s">
        <v>149</v>
      </c>
      <c r="H32" s="31"/>
      <c r="I32" s="31"/>
      <c r="J32" s="31"/>
      <c r="K32" s="31"/>
      <c r="L32" s="31"/>
    </row>
    <row r="33" spans="1:13" s="29" customFormat="1" ht="36" customHeight="1" x14ac:dyDescent="0.2">
      <c r="A33" s="28" t="s">
        <v>150</v>
      </c>
      <c r="B33" s="28" t="s">
        <v>151</v>
      </c>
      <c r="C33" s="28" t="s">
        <v>152</v>
      </c>
      <c r="D33" s="31" t="s">
        <v>94</v>
      </c>
      <c r="E33" s="38">
        <v>1</v>
      </c>
      <c r="F33" s="28" t="s">
        <v>152</v>
      </c>
      <c r="G33" s="28" t="s">
        <v>153</v>
      </c>
      <c r="H33" s="31"/>
      <c r="I33" s="31"/>
      <c r="J33" s="31"/>
      <c r="K33" s="31"/>
      <c r="L33" s="31"/>
    </row>
    <row r="34" spans="1:13" s="29" customFormat="1" ht="36" customHeight="1" x14ac:dyDescent="0.2">
      <c r="A34" s="28" t="s">
        <v>154</v>
      </c>
      <c r="B34" s="28" t="s">
        <v>155</v>
      </c>
      <c r="C34" s="28" t="s">
        <v>156</v>
      </c>
      <c r="D34" s="31" t="s">
        <v>159</v>
      </c>
      <c r="E34" s="38">
        <v>1</v>
      </c>
      <c r="F34" s="28" t="s">
        <v>157</v>
      </c>
      <c r="G34" s="28" t="s">
        <v>158</v>
      </c>
      <c r="H34" s="31"/>
      <c r="I34" s="31"/>
      <c r="J34" s="31"/>
      <c r="K34" s="31"/>
      <c r="L34" s="31"/>
    </row>
    <row r="35" spans="1:13" s="29" customFormat="1" ht="36" customHeight="1" x14ac:dyDescent="0.2">
      <c r="A35" s="28" t="s">
        <v>160</v>
      </c>
      <c r="B35" s="28" t="s">
        <v>161</v>
      </c>
      <c r="C35" s="28" t="s">
        <v>162</v>
      </c>
      <c r="D35" s="31" t="s">
        <v>164</v>
      </c>
      <c r="E35" s="26">
        <v>0</v>
      </c>
      <c r="F35" s="28" t="s">
        <v>162</v>
      </c>
      <c r="G35" s="28" t="s">
        <v>163</v>
      </c>
      <c r="H35" s="31"/>
      <c r="I35" s="31"/>
      <c r="J35" s="31"/>
      <c r="K35" s="31"/>
      <c r="L35" s="31"/>
    </row>
    <row r="36" spans="1:13" s="29" customFormat="1" ht="36" customHeight="1" x14ac:dyDescent="0.2">
      <c r="A36" s="28" t="s">
        <v>165</v>
      </c>
      <c r="B36" s="28" t="s">
        <v>166</v>
      </c>
      <c r="C36" s="28" t="s">
        <v>167</v>
      </c>
      <c r="D36" s="31" t="s">
        <v>169</v>
      </c>
      <c r="E36" s="38">
        <v>1</v>
      </c>
      <c r="F36" s="28" t="s">
        <v>167</v>
      </c>
      <c r="G36" s="28" t="s">
        <v>168</v>
      </c>
      <c r="H36" s="31"/>
      <c r="I36" s="31"/>
      <c r="J36" s="31"/>
      <c r="K36" s="31"/>
      <c r="L36" s="31"/>
    </row>
    <row r="37" spans="1:13" s="29" customFormat="1" ht="36" customHeight="1" x14ac:dyDescent="0.2">
      <c r="A37" s="28" t="s">
        <v>170</v>
      </c>
      <c r="B37" s="28" t="s">
        <v>171</v>
      </c>
      <c r="C37" s="28" t="s">
        <v>172</v>
      </c>
      <c r="D37" s="31" t="s">
        <v>178</v>
      </c>
      <c r="E37" s="38">
        <v>1</v>
      </c>
      <c r="F37" s="27" t="s">
        <v>173</v>
      </c>
      <c r="G37" s="27" t="s">
        <v>174</v>
      </c>
      <c r="H37" s="31"/>
      <c r="I37" s="31"/>
      <c r="J37" s="31"/>
      <c r="K37" s="31"/>
      <c r="L37" s="31"/>
    </row>
    <row r="38" spans="1:13" s="29" customFormat="1" ht="36" customHeight="1" x14ac:dyDescent="0.2">
      <c r="A38" s="28" t="s">
        <v>175</v>
      </c>
      <c r="B38" s="28" t="s">
        <v>176</v>
      </c>
      <c r="C38" s="28" t="s">
        <v>177</v>
      </c>
      <c r="D38" s="31" t="s">
        <v>180</v>
      </c>
      <c r="E38" s="18">
        <v>0</v>
      </c>
      <c r="F38" s="27" t="s">
        <v>179</v>
      </c>
      <c r="G38" s="27" t="s">
        <v>186</v>
      </c>
      <c r="H38" s="31"/>
      <c r="I38" s="31"/>
      <c r="J38" s="31"/>
      <c r="K38" s="31"/>
      <c r="L38" s="31"/>
    </row>
    <row r="39" spans="1:13" s="29" customFormat="1" ht="36" customHeight="1" x14ac:dyDescent="0.2">
      <c r="A39" s="28" t="s">
        <v>181</v>
      </c>
      <c r="B39" s="28" t="s">
        <v>182</v>
      </c>
      <c r="C39" s="27" t="s">
        <v>183</v>
      </c>
      <c r="D39" s="31" t="s">
        <v>185</v>
      </c>
      <c r="E39" s="38">
        <v>1</v>
      </c>
      <c r="F39" s="27" t="s">
        <v>183</v>
      </c>
      <c r="G39" s="27" t="s">
        <v>184</v>
      </c>
      <c r="H39" s="31"/>
      <c r="I39" s="31"/>
      <c r="J39" s="31"/>
      <c r="K39" s="31"/>
      <c r="L39" s="31"/>
    </row>
    <row r="40" spans="1:13" s="29" customFormat="1" ht="36" customHeight="1" thickBot="1" x14ac:dyDescent="0.25">
      <c r="A40" s="28" t="s">
        <v>187</v>
      </c>
      <c r="B40" s="28" t="s">
        <v>188</v>
      </c>
      <c r="C40" s="28"/>
      <c r="D40" s="31" t="s">
        <v>24</v>
      </c>
      <c r="E40" s="26">
        <v>0</v>
      </c>
      <c r="F40" s="28"/>
      <c r="G40" s="28"/>
      <c r="H40" s="40" t="s">
        <v>19</v>
      </c>
      <c r="I40" s="41" t="s">
        <v>189</v>
      </c>
      <c r="J40" s="41" t="s">
        <v>190</v>
      </c>
      <c r="K40" s="41" t="s">
        <v>191</v>
      </c>
      <c r="L40" s="41" t="s">
        <v>192</v>
      </c>
    </row>
    <row r="41" spans="1:13" s="29" customFormat="1" ht="36" customHeight="1" thickBot="1" x14ac:dyDescent="0.25">
      <c r="A41" s="28" t="s">
        <v>193</v>
      </c>
      <c r="B41" s="28" t="s">
        <v>194</v>
      </c>
      <c r="C41" s="28" t="s">
        <v>195</v>
      </c>
      <c r="D41" s="31" t="s">
        <v>196</v>
      </c>
      <c r="E41" s="26">
        <v>0</v>
      </c>
      <c r="F41" s="28" t="s">
        <v>195</v>
      </c>
      <c r="G41" s="27" t="s">
        <v>197</v>
      </c>
      <c r="H41" s="40"/>
      <c r="I41" s="41"/>
      <c r="J41" s="41"/>
      <c r="K41" s="41"/>
      <c r="L41" s="41"/>
    </row>
    <row r="42" spans="1:13" s="29" customFormat="1" ht="36" customHeight="1" thickBot="1" x14ac:dyDescent="0.25">
      <c r="A42" s="28" t="s">
        <v>198</v>
      </c>
      <c r="B42" s="28" t="s">
        <v>199</v>
      </c>
      <c r="C42" s="28" t="s">
        <v>200</v>
      </c>
      <c r="D42" s="31" t="s">
        <v>24</v>
      </c>
      <c r="E42" s="26">
        <v>0</v>
      </c>
      <c r="F42" s="28"/>
      <c r="G42" s="27"/>
      <c r="H42" s="40" t="s">
        <v>19</v>
      </c>
      <c r="I42" s="42" t="s">
        <v>189</v>
      </c>
      <c r="J42" s="41" t="s">
        <v>190</v>
      </c>
      <c r="K42" s="42" t="s">
        <v>201</v>
      </c>
      <c r="L42" s="41" t="s">
        <v>23</v>
      </c>
      <c r="M42" s="42" t="s">
        <v>202</v>
      </c>
    </row>
    <row r="43" spans="1:13" s="29" customFormat="1" ht="36" customHeight="1" thickBot="1" x14ac:dyDescent="0.25">
      <c r="A43" s="28" t="s">
        <v>107</v>
      </c>
      <c r="B43" s="28" t="s">
        <v>203</v>
      </c>
      <c r="C43" s="28" t="s">
        <v>204</v>
      </c>
      <c r="D43" s="31" t="s">
        <v>24</v>
      </c>
      <c r="E43" s="26">
        <v>0</v>
      </c>
      <c r="F43" s="28"/>
      <c r="G43" s="27"/>
      <c r="H43" s="40" t="s">
        <v>19</v>
      </c>
      <c r="I43" s="42" t="s">
        <v>189</v>
      </c>
      <c r="J43" s="41" t="s">
        <v>205</v>
      </c>
      <c r="K43" s="42" t="s">
        <v>206</v>
      </c>
      <c r="L43" s="41" t="s">
        <v>23</v>
      </c>
      <c r="M43" s="42" t="s">
        <v>207</v>
      </c>
    </row>
    <row r="44" spans="1:13" s="29" customFormat="1" ht="36" customHeight="1" thickBot="1" x14ac:dyDescent="0.25">
      <c r="A44" s="28" t="s">
        <v>154</v>
      </c>
      <c r="B44" s="28" t="s">
        <v>208</v>
      </c>
      <c r="C44" s="28" t="s">
        <v>209</v>
      </c>
      <c r="D44" s="31" t="s">
        <v>24</v>
      </c>
      <c r="E44" s="26">
        <v>0</v>
      </c>
      <c r="F44" s="28"/>
      <c r="G44" s="27"/>
      <c r="H44" s="40" t="s">
        <v>19</v>
      </c>
      <c r="I44" s="42" t="s">
        <v>189</v>
      </c>
      <c r="J44" s="41" t="s">
        <v>205</v>
      </c>
      <c r="K44" s="42" t="s">
        <v>210</v>
      </c>
      <c r="L44" s="41" t="s">
        <v>23</v>
      </c>
      <c r="M44" s="42" t="s">
        <v>211</v>
      </c>
    </row>
    <row r="45" spans="1:13" s="29" customFormat="1" ht="36" customHeight="1" thickBot="1" x14ac:dyDescent="0.25">
      <c r="A45" s="28" t="s">
        <v>212</v>
      </c>
      <c r="B45" s="28" t="s">
        <v>213</v>
      </c>
      <c r="C45" s="28" t="s">
        <v>214</v>
      </c>
      <c r="D45" s="31" t="s">
        <v>24</v>
      </c>
      <c r="E45" s="26">
        <v>0</v>
      </c>
      <c r="F45" s="28"/>
      <c r="G45" s="27"/>
      <c r="H45" s="40" t="s">
        <v>19</v>
      </c>
      <c r="I45" s="42" t="s">
        <v>189</v>
      </c>
      <c r="J45" s="41" t="s">
        <v>205</v>
      </c>
      <c r="K45" s="42" t="s">
        <v>215</v>
      </c>
      <c r="L45" s="41" t="s">
        <v>23</v>
      </c>
      <c r="M45" s="42" t="s">
        <v>216</v>
      </c>
    </row>
    <row r="46" spans="1:13" s="29" customFormat="1" ht="36" customHeight="1" thickBot="1" x14ac:dyDescent="0.25">
      <c r="A46" s="28" t="s">
        <v>217</v>
      </c>
      <c r="B46" s="28" t="s">
        <v>218</v>
      </c>
      <c r="C46" s="28" t="s">
        <v>219</v>
      </c>
      <c r="D46" s="31" t="s">
        <v>24</v>
      </c>
      <c r="E46" s="26">
        <v>0</v>
      </c>
      <c r="F46" s="28"/>
      <c r="G46" s="27"/>
      <c r="H46" s="40" t="s">
        <v>19</v>
      </c>
      <c r="I46" s="42" t="s">
        <v>189</v>
      </c>
      <c r="J46" s="41" t="s">
        <v>190</v>
      </c>
      <c r="K46" s="42" t="s">
        <v>220</v>
      </c>
      <c r="L46" s="41" t="s">
        <v>192</v>
      </c>
      <c r="M46" s="42" t="s">
        <v>221</v>
      </c>
    </row>
    <row r="47" spans="1:13" s="29" customFormat="1" ht="36" customHeight="1" thickBot="1" x14ac:dyDescent="0.25">
      <c r="A47" s="28" t="s">
        <v>222</v>
      </c>
      <c r="B47" s="28" t="s">
        <v>223</v>
      </c>
      <c r="C47" s="28" t="s">
        <v>224</v>
      </c>
      <c r="D47" s="31" t="s">
        <v>24</v>
      </c>
      <c r="E47" s="26">
        <v>0</v>
      </c>
      <c r="F47" s="28"/>
      <c r="G47" s="27"/>
      <c r="H47" s="40" t="s">
        <v>19</v>
      </c>
      <c r="I47" s="42" t="s">
        <v>189</v>
      </c>
      <c r="J47" s="41" t="s">
        <v>190</v>
      </c>
      <c r="K47" s="42" t="s">
        <v>225</v>
      </c>
      <c r="L47" s="41" t="s">
        <v>192</v>
      </c>
      <c r="M47" s="42"/>
    </row>
    <row r="48" spans="1:13" s="29" customFormat="1" ht="36" customHeight="1" thickBot="1" x14ac:dyDescent="0.25">
      <c r="A48" s="28" t="s">
        <v>226</v>
      </c>
      <c r="B48" s="28" t="s">
        <v>227</v>
      </c>
      <c r="C48" s="28" t="s">
        <v>228</v>
      </c>
      <c r="D48" s="31" t="s">
        <v>24</v>
      </c>
      <c r="E48" s="26">
        <v>0</v>
      </c>
      <c r="F48" s="28"/>
      <c r="G48" s="27"/>
      <c r="H48" s="40" t="s">
        <v>19</v>
      </c>
      <c r="I48" s="42" t="s">
        <v>189</v>
      </c>
      <c r="J48" s="41" t="s">
        <v>190</v>
      </c>
      <c r="K48" s="42" t="s">
        <v>229</v>
      </c>
      <c r="L48" s="41" t="s">
        <v>192</v>
      </c>
      <c r="M48" s="42" t="s">
        <v>230</v>
      </c>
    </row>
    <row r="49" spans="1:13" s="29" customFormat="1" ht="36" customHeight="1" thickBot="1" x14ac:dyDescent="0.25">
      <c r="A49" s="28" t="s">
        <v>231</v>
      </c>
      <c r="B49" s="28" t="s">
        <v>232</v>
      </c>
      <c r="C49" s="28" t="s">
        <v>233</v>
      </c>
      <c r="D49" s="31" t="s">
        <v>24</v>
      </c>
      <c r="E49" s="26">
        <v>0</v>
      </c>
      <c r="F49" s="28"/>
      <c r="G49" s="27"/>
      <c r="H49" s="40" t="s">
        <v>19</v>
      </c>
      <c r="I49" s="42" t="s">
        <v>189</v>
      </c>
      <c r="J49" s="41" t="s">
        <v>190</v>
      </c>
      <c r="K49" s="42" t="s">
        <v>234</v>
      </c>
      <c r="L49" s="41" t="s">
        <v>192</v>
      </c>
      <c r="M49" s="42"/>
    </row>
    <row r="50" spans="1:13" s="29" customFormat="1" ht="36" customHeight="1" thickBot="1" x14ac:dyDescent="0.25">
      <c r="A50" s="28" t="s">
        <v>235</v>
      </c>
      <c r="B50" s="28" t="s">
        <v>236</v>
      </c>
      <c r="C50" s="28" t="s">
        <v>237</v>
      </c>
      <c r="D50" s="31" t="s">
        <v>24</v>
      </c>
      <c r="E50" s="26">
        <v>0</v>
      </c>
      <c r="F50" s="28"/>
      <c r="G50" s="27"/>
      <c r="H50" s="40" t="s">
        <v>19</v>
      </c>
      <c r="I50" s="42" t="s">
        <v>189</v>
      </c>
      <c r="J50" s="41" t="s">
        <v>190</v>
      </c>
      <c r="K50" s="42" t="s">
        <v>238</v>
      </c>
      <c r="L50" s="41" t="s">
        <v>192</v>
      </c>
      <c r="M50" s="42"/>
    </row>
    <row r="51" spans="1:13" s="29" customFormat="1" ht="36" customHeight="1" x14ac:dyDescent="0.2">
      <c r="A51" s="28" t="s">
        <v>96</v>
      </c>
      <c r="B51" s="28" t="s">
        <v>97</v>
      </c>
      <c r="C51" s="27" t="s">
        <v>239</v>
      </c>
      <c r="D51" s="31" t="s">
        <v>240</v>
      </c>
      <c r="E51" s="26">
        <v>0</v>
      </c>
      <c r="F51" s="27" t="s">
        <v>239</v>
      </c>
      <c r="G51" s="27" t="s">
        <v>241</v>
      </c>
      <c r="H51" s="31"/>
      <c r="I51" s="31"/>
      <c r="J51" s="31"/>
      <c r="K51" s="31"/>
      <c r="L51" s="31"/>
    </row>
    <row r="52" spans="1:13" s="29" customFormat="1" ht="36" customHeight="1" x14ac:dyDescent="0.2">
      <c r="A52" s="28" t="s">
        <v>146</v>
      </c>
      <c r="B52" s="28" t="s">
        <v>242</v>
      </c>
      <c r="C52" s="27" t="s">
        <v>243</v>
      </c>
      <c r="D52" s="31" t="s">
        <v>244</v>
      </c>
      <c r="E52" s="38">
        <v>1</v>
      </c>
      <c r="F52" s="27" t="s">
        <v>243</v>
      </c>
      <c r="G52" s="27" t="s">
        <v>245</v>
      </c>
      <c r="H52" s="31"/>
      <c r="I52" s="31"/>
      <c r="J52" s="31"/>
      <c r="K52" s="31"/>
      <c r="L52" s="31"/>
    </row>
    <row r="53" spans="1:13" s="29" customFormat="1" ht="36" customHeight="1" x14ac:dyDescent="0.2">
      <c r="A53" s="28" t="s">
        <v>246</v>
      </c>
      <c r="B53" s="28" t="s">
        <v>247</v>
      </c>
      <c r="C53" s="27" t="s">
        <v>248</v>
      </c>
      <c r="D53" s="31" t="s">
        <v>249</v>
      </c>
      <c r="E53" s="38">
        <v>1</v>
      </c>
      <c r="F53" s="27" t="s">
        <v>248</v>
      </c>
      <c r="G53" s="27" t="s">
        <v>250</v>
      </c>
      <c r="H53" s="31"/>
      <c r="I53" s="31"/>
      <c r="J53" s="31"/>
      <c r="K53" s="31"/>
      <c r="L53" s="31"/>
    </row>
    <row r="54" spans="1:13" s="29" customFormat="1" ht="35.25" customHeight="1" x14ac:dyDescent="0.2">
      <c r="A54" s="30" t="s">
        <v>25</v>
      </c>
      <c r="B54" s="30" t="s">
        <v>26</v>
      </c>
      <c r="C54" s="30" t="s">
        <v>28</v>
      </c>
      <c r="D54" s="31" t="s">
        <v>27</v>
      </c>
      <c r="E54" s="38">
        <v>1</v>
      </c>
      <c r="F54" s="31" t="s">
        <v>29</v>
      </c>
      <c r="G54" s="31" t="s">
        <v>30</v>
      </c>
      <c r="H54" s="31"/>
      <c r="I54" s="31"/>
      <c r="J54" s="31"/>
      <c r="K54" s="31"/>
      <c r="L54" s="37"/>
    </row>
    <row r="55" spans="1:13" s="29" customFormat="1" ht="35.25" customHeight="1" x14ac:dyDescent="0.2">
      <c r="A55" s="30"/>
      <c r="B55" s="30"/>
      <c r="C55" s="30"/>
      <c r="D55" s="31"/>
      <c r="E55" s="38"/>
      <c r="F55" s="31"/>
      <c r="G55" s="31"/>
      <c r="H55" s="31"/>
      <c r="I55" s="31"/>
      <c r="J55" s="31"/>
      <c r="K55" s="31"/>
      <c r="L55" s="37"/>
    </row>
  </sheetData>
  <autoFilter ref="A2:L50" xr:uid="{00000000-0009-0000-0000-000001000000}"/>
  <mergeCells count="1">
    <mergeCell ref="A1:L1"/>
  </mergeCells>
  <conditionalFormatting sqref="E56:G1048576 E2 E1:G1">
    <cfRule type="colorScale" priority="10">
      <colorScale>
        <cfvo type="percent" val="0"/>
        <cfvo type="percent" val="0.5"/>
        <cfvo type="percent" val="1"/>
        <color rgb="FFF8696B"/>
        <color rgb="FFFFEB84"/>
        <color rgb="FF63BE7B"/>
      </colorScale>
    </cfRule>
  </conditionalFormatting>
  <conditionalFormatting sqref="H3">
    <cfRule type="cellIs" dxfId="5" priority="7" stopIfTrue="1" operator="equal">
      <formula>"LOW_PRIO"</formula>
    </cfRule>
    <cfRule type="cellIs" dxfId="4" priority="8" stopIfTrue="1" operator="equal">
      <formula>"HIGH_PRIO"</formula>
    </cfRule>
  </conditionalFormatting>
  <conditionalFormatting sqref="H54">
    <cfRule type="cellIs" dxfId="3" priority="3" stopIfTrue="1" operator="equal">
      <formula>"LOW_PRIO"</formula>
    </cfRule>
    <cfRule type="cellIs" dxfId="2" priority="4" stopIfTrue="1" operator="equal">
      <formula>"HIGH_PRIO"</formula>
    </cfRule>
  </conditionalFormatting>
  <conditionalFormatting sqref="H55">
    <cfRule type="cellIs" dxfId="1" priority="1" stopIfTrue="1" operator="equal">
      <formula>"LOW_PRIO"</formula>
    </cfRule>
    <cfRule type="cellIs" dxfId="0" priority="2" stopIfTrue="1" operator="equal">
      <formula>"HIGH_PRIO"</formula>
    </cfRule>
  </conditionalFormatting>
  <dataValidations count="4">
    <dataValidation type="list" allowBlank="1" showInputMessage="1" showErrorMessage="1" sqref="G1 G3 G54:G1048576 E1:E1048576" xr:uid="{00000000-0002-0000-0100-000000000000}">
      <formula1>"0%,50%,100%"</formula1>
    </dataValidation>
    <dataValidation type="list" allowBlank="1" showInputMessage="1" showErrorMessage="1" sqref="L3 L54:L55" xr:uid="{00000000-0002-0000-0100-000001000000}">
      <formula1>"open,in clarification,fix available,solved,not testable,subsequent warning"</formula1>
    </dataValidation>
    <dataValidation type="list" allowBlank="1" showInputMessage="1" showErrorMessage="1" sqref="J3 J54:J55" xr:uid="{00000000-0002-0000-0100-000002000000}">
      <formula1>"FCI,BCI,PVER-I,DGS_central_assessment,Cust_central_assessment"</formula1>
    </dataValidation>
    <dataValidation type="list" allowBlank="1" showInputMessage="1" showErrorMessage="1" sqref="H3 H54:H55" xr:uid="{00000000-0002-0000-0100-000003000000}">
      <formula1>"empty, LOW_PRIO, HIGH_PRIO"</formula1>
    </dataValidation>
  </dataValidations>
  <pageMargins left="0.7" right="0.7" top="0.75" bottom="0.75" header="0.3" footer="0.3"/>
  <pageSetup orientation="portrait" horizontalDpi="30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Click">
                <anchor moveWithCells="1" sizeWithCells="1">
                  <from>
                    <xdr:col>1</xdr:col>
                    <xdr:colOff>2686050</xdr:colOff>
                    <xdr:row>0</xdr:row>
                    <xdr:rowOff>76200</xdr:rowOff>
                  </from>
                  <to>
                    <xdr:col>7</xdr:col>
                    <xdr:colOff>190500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SearchSheet</vt:lpstr>
      <vt:lpstr>DatabaseSheet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FIXED-TERM Le Thanh Long (RBVH/EJV3)</dc:creator>
  <cp:lastModifiedBy>Cao Le Cong Minh</cp:lastModifiedBy>
  <dcterms:created xsi:type="dcterms:W3CDTF">2017-12-06T07:02:40Z</dcterms:created>
  <dcterms:modified xsi:type="dcterms:W3CDTF">2020-09-27T13:38:36Z</dcterms:modified>
</cp:coreProperties>
</file>